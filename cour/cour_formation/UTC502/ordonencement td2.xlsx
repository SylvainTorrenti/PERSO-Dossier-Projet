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UTC502\"/>
    </mc:Choice>
  </mc:AlternateContent>
  <xr:revisionPtr revIDLastSave="0" documentId="13_ncr:1_{DBFE4FD0-C993-49CA-BB0E-1B909EC6A141}" xr6:coauthVersionLast="47" xr6:coauthVersionMax="47" xr10:uidLastSave="{00000000-0000-0000-0000-000000000000}"/>
  <bookViews>
    <workbookView xWindow="-110" yWindow="-110" windowWidth="25820" windowHeight="15500" xr2:uid="{D5CF3C4D-70E3-4923-947A-432159136B7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4" i="1" l="1"/>
  <c r="K74" i="1"/>
  <c r="L56" i="1"/>
  <c r="H56" i="1"/>
  <c r="L44" i="1"/>
  <c r="H44" i="1"/>
  <c r="L25" i="1"/>
  <c r="L24" i="1"/>
  <c r="L23" i="1"/>
  <c r="L22" i="1"/>
  <c r="L21" i="1"/>
  <c r="L20" i="1"/>
  <c r="L19" i="1"/>
  <c r="H25" i="1"/>
  <c r="H24" i="1"/>
  <c r="H23" i="1"/>
  <c r="H22" i="1"/>
  <c r="H21" i="1"/>
  <c r="H20" i="1"/>
  <c r="H10" i="1"/>
  <c r="H9" i="1"/>
  <c r="H8" i="1"/>
  <c r="H7" i="1"/>
  <c r="H6" i="1"/>
  <c r="H5" i="1"/>
  <c r="H19" i="1"/>
  <c r="L11" i="1"/>
  <c r="L10" i="1"/>
  <c r="L9" i="1"/>
  <c r="L8" i="1"/>
  <c r="L7" i="1"/>
  <c r="L6" i="1"/>
  <c r="L5" i="1"/>
  <c r="H11" i="1" l="1"/>
</calcChain>
</file>

<file path=xl/sharedStrings.xml><?xml version="1.0" encoding="utf-8"?>
<sst xmlns="http://schemas.openxmlformats.org/spreadsheetml/2006/main" count="282" uniqueCount="37">
  <si>
    <t>Durée</t>
  </si>
  <si>
    <t>A</t>
  </si>
  <si>
    <t>B</t>
  </si>
  <si>
    <t>C</t>
  </si>
  <si>
    <t>D</t>
  </si>
  <si>
    <t>E</t>
  </si>
  <si>
    <t>F</t>
  </si>
  <si>
    <t>Date entrée</t>
  </si>
  <si>
    <t>FIFO</t>
  </si>
  <si>
    <t>TTM</t>
  </si>
  <si>
    <t>total</t>
  </si>
  <si>
    <t>resultat</t>
  </si>
  <si>
    <t>TAM</t>
  </si>
  <si>
    <t>124/6</t>
  </si>
  <si>
    <t>SJF</t>
  </si>
  <si>
    <t>150/6</t>
  </si>
  <si>
    <t>117/6</t>
  </si>
  <si>
    <t>90/6</t>
  </si>
  <si>
    <t>Tourniquet</t>
  </si>
  <si>
    <t>QT = 2</t>
  </si>
  <si>
    <t>123/6</t>
  </si>
  <si>
    <t>86/6</t>
  </si>
  <si>
    <t>70/6</t>
  </si>
  <si>
    <t>146/6</t>
  </si>
  <si>
    <t>Q1</t>
  </si>
  <si>
    <t>Q2</t>
  </si>
  <si>
    <t>Q3</t>
  </si>
  <si>
    <t>P1</t>
  </si>
  <si>
    <t>P2</t>
  </si>
  <si>
    <t>P3</t>
  </si>
  <si>
    <t>P4</t>
  </si>
  <si>
    <t>P5</t>
  </si>
  <si>
    <t>durée</t>
  </si>
  <si>
    <t>3880/5</t>
  </si>
  <si>
    <t>950/5</t>
  </si>
  <si>
    <t>SRT QT=2</t>
  </si>
  <si>
    <t>FIFO QT=1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</si>
</sst>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quotePrefix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250F-1EDF-4D22-94F7-98905F3E7674}">
  <dimension ref="A1:AF75"/>
  <sheetViews>
    <sheetView tabSelected="1" topLeftCell="A19" zoomScale="55" zoomScaleNormal="55" workbookViewId="0">
      <selection activeCell="Z65" sqref="Z65"/>
    </sheetView>
  </sheetViews>
  <sheetFormatPr baseColWidth="10" defaultRowHeight="14.5" x14ac:dyDescent="0.35"/>
  <sheetData>
    <row r="1" spans="1:32" x14ac:dyDescent="0.35">
      <c r="A1" s="1"/>
      <c r="B1" s="1" t="s">
        <v>0</v>
      </c>
      <c r="C1" s="1" t="s">
        <v>7</v>
      </c>
      <c r="E1" t="s">
        <v>8</v>
      </c>
    </row>
    <row r="2" spans="1:32" x14ac:dyDescent="0.35">
      <c r="A2" s="1" t="s">
        <v>1</v>
      </c>
      <c r="B2" s="1">
        <v>5</v>
      </c>
      <c r="C2" s="1">
        <v>0</v>
      </c>
      <c r="F2" s="1">
        <v>15</v>
      </c>
      <c r="G2" s="1">
        <v>16</v>
      </c>
      <c r="H2" s="1">
        <v>17</v>
      </c>
      <c r="I2" s="1">
        <v>18</v>
      </c>
      <c r="J2" s="1">
        <v>19</v>
      </c>
      <c r="K2" s="1">
        <v>20</v>
      </c>
      <c r="L2" s="1">
        <v>21</v>
      </c>
      <c r="M2" s="1">
        <v>22</v>
      </c>
      <c r="N2" s="1">
        <v>23</v>
      </c>
      <c r="O2" s="1">
        <v>24</v>
      </c>
      <c r="P2" s="1">
        <v>25</v>
      </c>
      <c r="Q2" s="1">
        <v>26</v>
      </c>
      <c r="R2" s="1">
        <v>27</v>
      </c>
      <c r="S2" s="1">
        <v>28</v>
      </c>
      <c r="T2" s="1">
        <v>29</v>
      </c>
      <c r="U2" s="1">
        <v>30</v>
      </c>
      <c r="V2" s="1">
        <v>31</v>
      </c>
      <c r="W2" s="1">
        <v>32</v>
      </c>
      <c r="X2" s="1">
        <v>33</v>
      </c>
      <c r="Y2" s="1">
        <v>34</v>
      </c>
      <c r="Z2" s="1">
        <v>35</v>
      </c>
      <c r="AA2" s="1">
        <v>36</v>
      </c>
      <c r="AB2" s="1">
        <v>37</v>
      </c>
      <c r="AC2" s="1">
        <v>38</v>
      </c>
      <c r="AD2" s="1">
        <v>39</v>
      </c>
      <c r="AE2" s="1">
        <v>40</v>
      </c>
      <c r="AF2" s="1">
        <v>41</v>
      </c>
    </row>
    <row r="3" spans="1:32" x14ac:dyDescent="0.35">
      <c r="A3" s="1" t="s">
        <v>2</v>
      </c>
      <c r="B3" s="1">
        <v>1</v>
      </c>
      <c r="C3" s="1">
        <v>2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3" t="s">
        <v>2</v>
      </c>
      <c r="L3" s="4" t="s">
        <v>3</v>
      </c>
      <c r="M3" s="4" t="s">
        <v>3</v>
      </c>
      <c r="N3" s="4" t="s">
        <v>3</v>
      </c>
      <c r="O3" s="4" t="s">
        <v>3</v>
      </c>
      <c r="P3" s="5" t="s">
        <v>4</v>
      </c>
      <c r="Q3" s="5" t="s">
        <v>4</v>
      </c>
      <c r="R3" s="5" t="s">
        <v>4</v>
      </c>
      <c r="S3" s="5" t="s">
        <v>4</v>
      </c>
      <c r="T3" s="5" t="s">
        <v>4</v>
      </c>
      <c r="U3" s="5" t="s">
        <v>4</v>
      </c>
      <c r="V3" s="5" t="s">
        <v>4</v>
      </c>
      <c r="W3" s="5" t="s">
        <v>4</v>
      </c>
      <c r="X3" s="5" t="s">
        <v>4</v>
      </c>
      <c r="Y3" s="5" t="s">
        <v>4</v>
      </c>
      <c r="Z3" s="5" t="s">
        <v>4</v>
      </c>
      <c r="AA3" s="5" t="s">
        <v>4</v>
      </c>
      <c r="AB3" s="6" t="s">
        <v>5</v>
      </c>
      <c r="AC3" s="6" t="s">
        <v>5</v>
      </c>
      <c r="AD3" s="6" t="s">
        <v>5</v>
      </c>
      <c r="AE3" s="7" t="s">
        <v>6</v>
      </c>
      <c r="AF3" s="7" t="s">
        <v>6</v>
      </c>
    </row>
    <row r="4" spans="1:32" x14ac:dyDescent="0.35">
      <c r="A4" s="1" t="s">
        <v>3</v>
      </c>
      <c r="B4" s="1">
        <v>4</v>
      </c>
      <c r="C4" s="1">
        <v>3</v>
      </c>
    </row>
    <row r="5" spans="1:32" x14ac:dyDescent="0.35">
      <c r="A5" s="1" t="s">
        <v>4</v>
      </c>
      <c r="B5" s="1">
        <v>12</v>
      </c>
      <c r="C5" s="1">
        <v>5</v>
      </c>
      <c r="F5" t="s">
        <v>9</v>
      </c>
      <c r="G5" s="1" t="s">
        <v>1</v>
      </c>
      <c r="H5" s="1">
        <f>20-0</f>
        <v>20</v>
      </c>
      <c r="J5" t="s">
        <v>12</v>
      </c>
      <c r="K5" s="1" t="s">
        <v>1</v>
      </c>
      <c r="L5" s="1">
        <f>15-0</f>
        <v>15</v>
      </c>
    </row>
    <row r="6" spans="1:32" x14ac:dyDescent="0.35">
      <c r="A6" s="1" t="s">
        <v>5</v>
      </c>
      <c r="B6" s="1">
        <v>3</v>
      </c>
      <c r="C6" s="1">
        <v>10</v>
      </c>
      <c r="G6" s="1" t="s">
        <v>2</v>
      </c>
      <c r="H6" s="1">
        <f>21-2</f>
        <v>19</v>
      </c>
      <c r="K6" s="1" t="s">
        <v>2</v>
      </c>
      <c r="L6" s="1">
        <f>20-2</f>
        <v>18</v>
      </c>
    </row>
    <row r="7" spans="1:32" x14ac:dyDescent="0.35">
      <c r="A7" s="1" t="s">
        <v>6</v>
      </c>
      <c r="B7" s="1">
        <v>2</v>
      </c>
      <c r="C7" s="1">
        <v>15</v>
      </c>
      <c r="G7" s="1" t="s">
        <v>3</v>
      </c>
      <c r="H7" s="1">
        <f>25-3</f>
        <v>22</v>
      </c>
      <c r="K7" s="1" t="s">
        <v>3</v>
      </c>
      <c r="L7" s="1">
        <f>21-3</f>
        <v>18</v>
      </c>
    </row>
    <row r="8" spans="1:32" x14ac:dyDescent="0.35">
      <c r="G8" s="1" t="s">
        <v>4</v>
      </c>
      <c r="H8" s="1">
        <f>37-5</f>
        <v>32</v>
      </c>
      <c r="K8" s="1" t="s">
        <v>4</v>
      </c>
      <c r="L8" s="1">
        <f>25-5</f>
        <v>20</v>
      </c>
    </row>
    <row r="9" spans="1:32" x14ac:dyDescent="0.35">
      <c r="G9" s="1" t="s">
        <v>5</v>
      </c>
      <c r="H9" s="1">
        <f>40-10</f>
        <v>30</v>
      </c>
      <c r="K9" s="1" t="s">
        <v>5</v>
      </c>
      <c r="L9" s="1">
        <f>37-10</f>
        <v>27</v>
      </c>
    </row>
    <row r="10" spans="1:32" x14ac:dyDescent="0.35">
      <c r="G10" s="1" t="s">
        <v>6</v>
      </c>
      <c r="H10" s="1">
        <f>42-15</f>
        <v>27</v>
      </c>
      <c r="K10" s="1" t="s">
        <v>6</v>
      </c>
      <c r="L10" s="1">
        <f>41-15</f>
        <v>26</v>
      </c>
    </row>
    <row r="11" spans="1:32" x14ac:dyDescent="0.35">
      <c r="G11" s="1" t="s">
        <v>10</v>
      </c>
      <c r="H11" s="1">
        <f>SUM(H5:H10)</f>
        <v>150</v>
      </c>
      <c r="K11" s="1" t="s">
        <v>10</v>
      </c>
      <c r="L11" s="1">
        <f>SUM(L5:L10)</f>
        <v>124</v>
      </c>
    </row>
    <row r="12" spans="1:32" x14ac:dyDescent="0.35">
      <c r="G12" s="1" t="s">
        <v>11</v>
      </c>
      <c r="H12" s="8" t="s">
        <v>15</v>
      </c>
      <c r="K12" s="1" t="s">
        <v>11</v>
      </c>
      <c r="L12" s="8" t="s">
        <v>13</v>
      </c>
    </row>
    <row r="15" spans="1:32" x14ac:dyDescent="0.35">
      <c r="E15" t="s">
        <v>14</v>
      </c>
    </row>
    <row r="16" spans="1:32" x14ac:dyDescent="0.35">
      <c r="F16" s="1">
        <v>15</v>
      </c>
      <c r="G16" s="1">
        <v>16</v>
      </c>
      <c r="H16" s="1">
        <v>17</v>
      </c>
      <c r="I16" s="1">
        <v>18</v>
      </c>
      <c r="J16" s="1">
        <v>19</v>
      </c>
      <c r="K16" s="1">
        <v>20</v>
      </c>
      <c r="L16" s="1">
        <v>21</v>
      </c>
      <c r="M16" s="1">
        <v>22</v>
      </c>
      <c r="N16" s="1">
        <v>23</v>
      </c>
      <c r="O16" s="1">
        <v>24</v>
      </c>
      <c r="P16" s="1">
        <v>25</v>
      </c>
      <c r="Q16" s="1">
        <v>26</v>
      </c>
      <c r="R16" s="1">
        <v>27</v>
      </c>
      <c r="S16" s="1">
        <v>28</v>
      </c>
      <c r="T16" s="1">
        <v>29</v>
      </c>
      <c r="U16" s="1">
        <v>30</v>
      </c>
      <c r="V16" s="1">
        <v>31</v>
      </c>
      <c r="W16" s="1">
        <v>32</v>
      </c>
      <c r="X16" s="1">
        <v>33</v>
      </c>
      <c r="Y16" s="1">
        <v>34</v>
      </c>
      <c r="Z16" s="1">
        <v>35</v>
      </c>
      <c r="AA16" s="1">
        <v>36</v>
      </c>
      <c r="AB16" s="1">
        <v>37</v>
      </c>
      <c r="AC16" s="1">
        <v>38</v>
      </c>
      <c r="AD16" s="1">
        <v>39</v>
      </c>
      <c r="AE16" s="1">
        <v>40</v>
      </c>
      <c r="AF16" s="1">
        <v>41</v>
      </c>
    </row>
    <row r="17" spans="5:32" x14ac:dyDescent="0.35">
      <c r="F17" s="3" t="s">
        <v>2</v>
      </c>
      <c r="G17" s="7" t="s">
        <v>6</v>
      </c>
      <c r="H17" s="7" t="s">
        <v>6</v>
      </c>
      <c r="I17" s="6" t="s">
        <v>5</v>
      </c>
      <c r="J17" s="6" t="s">
        <v>5</v>
      </c>
      <c r="K17" s="6" t="s">
        <v>5</v>
      </c>
      <c r="L17" s="4" t="s">
        <v>3</v>
      </c>
      <c r="M17" s="4" t="s">
        <v>3</v>
      </c>
      <c r="N17" s="4" t="s">
        <v>3</v>
      </c>
      <c r="O17" s="4" t="s">
        <v>3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  <c r="U17" s="5" t="s">
        <v>4</v>
      </c>
      <c r="V17" s="5" t="s">
        <v>4</v>
      </c>
      <c r="W17" s="5" t="s">
        <v>4</v>
      </c>
      <c r="X17" s="5" t="s">
        <v>4</v>
      </c>
      <c r="Y17" s="5" t="s">
        <v>4</v>
      </c>
      <c r="Z17" s="5" t="s">
        <v>4</v>
      </c>
      <c r="AA17" s="5" t="s">
        <v>4</v>
      </c>
      <c r="AB17" s="5" t="s">
        <v>4</v>
      </c>
      <c r="AC17" s="5" t="s">
        <v>4</v>
      </c>
      <c r="AD17" s="5" t="s">
        <v>4</v>
      </c>
      <c r="AE17" s="5" t="s">
        <v>4</v>
      </c>
      <c r="AF17" s="5" t="s">
        <v>4</v>
      </c>
    </row>
    <row r="19" spans="5:32" x14ac:dyDescent="0.35">
      <c r="F19" t="s">
        <v>9</v>
      </c>
      <c r="G19" s="1" t="s">
        <v>1</v>
      </c>
      <c r="H19" s="1">
        <f>30-0</f>
        <v>30</v>
      </c>
      <c r="J19" t="s">
        <v>12</v>
      </c>
      <c r="K19" s="1" t="s">
        <v>1</v>
      </c>
      <c r="L19" s="1">
        <f>25-0</f>
        <v>25</v>
      </c>
    </row>
    <row r="20" spans="5:32" x14ac:dyDescent="0.35">
      <c r="G20" s="1" t="s">
        <v>2</v>
      </c>
      <c r="H20" s="1">
        <f>16-2</f>
        <v>14</v>
      </c>
      <c r="K20" s="1" t="s">
        <v>2</v>
      </c>
      <c r="L20" s="1">
        <f>15-2</f>
        <v>13</v>
      </c>
    </row>
    <row r="21" spans="5:32" x14ac:dyDescent="0.35">
      <c r="G21" s="1" t="s">
        <v>3</v>
      </c>
      <c r="H21" s="1">
        <f>25-3</f>
        <v>22</v>
      </c>
      <c r="K21" s="1" t="s">
        <v>3</v>
      </c>
      <c r="L21" s="1">
        <f>21-3</f>
        <v>18</v>
      </c>
    </row>
    <row r="22" spans="5:32" x14ac:dyDescent="0.35">
      <c r="G22" s="1" t="s">
        <v>4</v>
      </c>
      <c r="H22" s="1">
        <f>42-5</f>
        <v>37</v>
      </c>
      <c r="K22" s="1" t="s">
        <v>4</v>
      </c>
      <c r="L22" s="1">
        <f>30-5</f>
        <v>25</v>
      </c>
    </row>
    <row r="23" spans="5:32" x14ac:dyDescent="0.35">
      <c r="G23" s="1" t="s">
        <v>5</v>
      </c>
      <c r="H23" s="1">
        <f>21-10</f>
        <v>11</v>
      </c>
      <c r="K23" s="1" t="s">
        <v>5</v>
      </c>
      <c r="L23" s="1">
        <f>18-10</f>
        <v>8</v>
      </c>
    </row>
    <row r="24" spans="5:32" x14ac:dyDescent="0.35">
      <c r="G24" s="1" t="s">
        <v>6</v>
      </c>
      <c r="H24" s="1">
        <f>18-15</f>
        <v>3</v>
      </c>
      <c r="K24" s="1" t="s">
        <v>6</v>
      </c>
      <c r="L24" s="1">
        <f>16-15</f>
        <v>1</v>
      </c>
    </row>
    <row r="25" spans="5:32" x14ac:dyDescent="0.35">
      <c r="G25" s="1" t="s">
        <v>10</v>
      </c>
      <c r="H25" s="1">
        <f>SUM(H19:H24)</f>
        <v>117</v>
      </c>
      <c r="K25" s="1" t="s">
        <v>10</v>
      </c>
      <c r="L25" s="1">
        <f>SUM(L19:L24)</f>
        <v>90</v>
      </c>
    </row>
    <row r="26" spans="5:32" x14ac:dyDescent="0.35">
      <c r="G26" s="1" t="s">
        <v>11</v>
      </c>
      <c r="H26" s="8" t="s">
        <v>16</v>
      </c>
      <c r="K26" s="1" t="s">
        <v>11</v>
      </c>
      <c r="L26" s="8" t="s">
        <v>17</v>
      </c>
    </row>
    <row r="29" spans="5:32" x14ac:dyDescent="0.35">
      <c r="E29" t="s">
        <v>18</v>
      </c>
      <c r="F29" t="s">
        <v>19</v>
      </c>
    </row>
    <row r="30" spans="5:32" x14ac:dyDescent="0.35">
      <c r="F30" s="1">
        <v>15</v>
      </c>
      <c r="G30" s="1">
        <v>16</v>
      </c>
      <c r="H30" s="1">
        <v>17</v>
      </c>
      <c r="I30" s="1">
        <v>18</v>
      </c>
      <c r="J30" s="1">
        <v>19</v>
      </c>
      <c r="K30" s="1">
        <v>20</v>
      </c>
      <c r="L30" s="1">
        <v>21</v>
      </c>
      <c r="M30" s="1">
        <v>22</v>
      </c>
      <c r="N30" s="1">
        <v>23</v>
      </c>
      <c r="O30" s="1">
        <v>24</v>
      </c>
      <c r="P30" s="1">
        <v>25</v>
      </c>
      <c r="Q30" s="1">
        <v>26</v>
      </c>
      <c r="R30" s="1">
        <v>27</v>
      </c>
      <c r="S30" s="1">
        <v>28</v>
      </c>
      <c r="T30" s="1">
        <v>29</v>
      </c>
      <c r="U30" s="1">
        <v>30</v>
      </c>
      <c r="V30" s="1">
        <v>31</v>
      </c>
      <c r="W30" s="1">
        <v>32</v>
      </c>
      <c r="X30" s="1">
        <v>33</v>
      </c>
      <c r="Y30" s="1">
        <v>34</v>
      </c>
      <c r="Z30" s="1">
        <v>35</v>
      </c>
      <c r="AA30" s="1">
        <v>36</v>
      </c>
      <c r="AB30" s="1">
        <v>37</v>
      </c>
      <c r="AC30" s="1">
        <v>38</v>
      </c>
      <c r="AD30" s="1">
        <v>39</v>
      </c>
      <c r="AE30" s="1">
        <v>40</v>
      </c>
      <c r="AF30" s="1">
        <v>41</v>
      </c>
    </row>
    <row r="31" spans="5:32" x14ac:dyDescent="0.35">
      <c r="F31" s="2" t="s">
        <v>1</v>
      </c>
      <c r="G31" s="2" t="s">
        <v>1</v>
      </c>
      <c r="H31" s="3" t="s">
        <v>2</v>
      </c>
      <c r="I31" s="4" t="s">
        <v>3</v>
      </c>
      <c r="J31" s="4" t="s">
        <v>3</v>
      </c>
      <c r="K31" s="5" t="s">
        <v>4</v>
      </c>
      <c r="L31" s="5" t="s">
        <v>4</v>
      </c>
      <c r="M31" s="6" t="s">
        <v>5</v>
      </c>
      <c r="N31" s="6" t="s">
        <v>5</v>
      </c>
      <c r="O31" s="7" t="s">
        <v>6</v>
      </c>
      <c r="P31" s="7" t="s">
        <v>6</v>
      </c>
      <c r="Q31" s="2" t="s">
        <v>1</v>
      </c>
      <c r="R31" s="2" t="s">
        <v>1</v>
      </c>
      <c r="S31" s="4" t="s">
        <v>3</v>
      </c>
      <c r="T31" s="4" t="s">
        <v>3</v>
      </c>
      <c r="U31" s="5" t="s">
        <v>4</v>
      </c>
      <c r="V31" s="5" t="s">
        <v>4</v>
      </c>
      <c r="W31" s="6" t="s">
        <v>5</v>
      </c>
      <c r="X31" s="2" t="s">
        <v>1</v>
      </c>
      <c r="Y31" s="5" t="s">
        <v>4</v>
      </c>
      <c r="Z31" s="5" t="s">
        <v>4</v>
      </c>
      <c r="AA31" s="5" t="s">
        <v>4</v>
      </c>
      <c r="AB31" s="5" t="s">
        <v>4</v>
      </c>
      <c r="AC31" s="5" t="s">
        <v>4</v>
      </c>
      <c r="AD31" s="5" t="s">
        <v>4</v>
      </c>
      <c r="AE31" s="5" t="s">
        <v>4</v>
      </c>
      <c r="AF31" s="5" t="s">
        <v>4</v>
      </c>
    </row>
    <row r="34" spans="1:32" x14ac:dyDescent="0.35">
      <c r="E34" t="s">
        <v>35</v>
      </c>
    </row>
    <row r="35" spans="1:32" x14ac:dyDescent="0.35">
      <c r="F35" s="1">
        <v>15</v>
      </c>
      <c r="G35" s="1">
        <v>16</v>
      </c>
      <c r="H35" s="1">
        <v>17</v>
      </c>
      <c r="I35" s="1">
        <v>18</v>
      </c>
      <c r="J35" s="1">
        <v>19</v>
      </c>
      <c r="K35" s="1">
        <v>20</v>
      </c>
      <c r="L35" s="1">
        <v>21</v>
      </c>
      <c r="M35" s="1">
        <v>22</v>
      </c>
      <c r="N35" s="1">
        <v>23</v>
      </c>
      <c r="O35" s="1">
        <v>24</v>
      </c>
      <c r="P35" s="1">
        <v>25</v>
      </c>
      <c r="Q35" s="1">
        <v>26</v>
      </c>
      <c r="R35" s="1">
        <v>27</v>
      </c>
      <c r="S35" s="1">
        <v>28</v>
      </c>
      <c r="T35" s="1">
        <v>29</v>
      </c>
      <c r="U35" s="1">
        <v>30</v>
      </c>
      <c r="V35" s="1">
        <v>31</v>
      </c>
      <c r="W35" s="1">
        <v>32</v>
      </c>
      <c r="X35" s="1">
        <v>33</v>
      </c>
      <c r="Y35" s="1">
        <v>34</v>
      </c>
      <c r="Z35" s="1">
        <v>35</v>
      </c>
      <c r="AA35" s="1">
        <v>36</v>
      </c>
      <c r="AB35" s="1">
        <v>37</v>
      </c>
      <c r="AC35" s="1">
        <v>38</v>
      </c>
      <c r="AD35" s="1">
        <v>39</v>
      </c>
      <c r="AE35" s="1">
        <v>40</v>
      </c>
      <c r="AF35" s="1">
        <v>41</v>
      </c>
    </row>
    <row r="36" spans="1:32" x14ac:dyDescent="0.35">
      <c r="F36" s="3" t="s">
        <v>2</v>
      </c>
      <c r="G36" s="7" t="s">
        <v>6</v>
      </c>
      <c r="H36" s="7" t="s">
        <v>6</v>
      </c>
      <c r="I36" s="6" t="s">
        <v>5</v>
      </c>
      <c r="J36" s="6" t="s">
        <v>5</v>
      </c>
      <c r="K36" s="4" t="s">
        <v>3</v>
      </c>
      <c r="L36" s="4" t="s">
        <v>3</v>
      </c>
      <c r="M36" s="6" t="s">
        <v>5</v>
      </c>
      <c r="N36" s="4" t="s">
        <v>3</v>
      </c>
      <c r="O36" s="4" t="s">
        <v>3</v>
      </c>
      <c r="P36" s="2" t="s">
        <v>1</v>
      </c>
      <c r="Q36" s="2" t="s">
        <v>1</v>
      </c>
      <c r="R36" s="5" t="s">
        <v>4</v>
      </c>
      <c r="S36" s="5" t="s">
        <v>4</v>
      </c>
      <c r="T36" s="2" t="s">
        <v>1</v>
      </c>
      <c r="U36" s="2" t="s">
        <v>1</v>
      </c>
      <c r="V36" s="5" t="s">
        <v>4</v>
      </c>
      <c r="W36" s="5" t="s">
        <v>4</v>
      </c>
      <c r="X36" s="2" t="s">
        <v>1</v>
      </c>
      <c r="Y36" s="5" t="s">
        <v>4</v>
      </c>
      <c r="Z36" s="5" t="s">
        <v>4</v>
      </c>
      <c r="AA36" s="5" t="s">
        <v>4</v>
      </c>
      <c r="AB36" s="5" t="s">
        <v>4</v>
      </c>
      <c r="AC36" s="5" t="s">
        <v>4</v>
      </c>
      <c r="AD36" s="5" t="s">
        <v>4</v>
      </c>
      <c r="AE36" s="5" t="s">
        <v>4</v>
      </c>
      <c r="AF36" s="5" t="s">
        <v>4</v>
      </c>
    </row>
    <row r="38" spans="1:32" x14ac:dyDescent="0.35">
      <c r="F38" t="s">
        <v>9</v>
      </c>
      <c r="G38" s="1" t="s">
        <v>1</v>
      </c>
      <c r="H38" s="1">
        <v>34</v>
      </c>
      <c r="J38" t="s">
        <v>12</v>
      </c>
      <c r="K38" s="1" t="s">
        <v>1</v>
      </c>
      <c r="L38" s="1">
        <v>25</v>
      </c>
    </row>
    <row r="39" spans="1:32" x14ac:dyDescent="0.35">
      <c r="A39" s="1"/>
      <c r="B39" s="1" t="s">
        <v>0</v>
      </c>
      <c r="G39" s="1" t="s">
        <v>2</v>
      </c>
      <c r="H39" s="1">
        <v>14</v>
      </c>
      <c r="K39" s="1" t="s">
        <v>2</v>
      </c>
      <c r="L39" s="1">
        <v>13</v>
      </c>
    </row>
    <row r="40" spans="1:32" x14ac:dyDescent="0.35">
      <c r="A40" s="1" t="s">
        <v>1</v>
      </c>
      <c r="B40" s="1">
        <v>5</v>
      </c>
      <c r="G40" s="1" t="s">
        <v>3</v>
      </c>
      <c r="H40" s="1">
        <v>22</v>
      </c>
      <c r="K40" s="1" t="s">
        <v>3</v>
      </c>
      <c r="L40" s="1">
        <v>17</v>
      </c>
    </row>
    <row r="41" spans="1:32" x14ac:dyDescent="0.35">
      <c r="A41" s="1" t="s">
        <v>2</v>
      </c>
      <c r="B41" s="1">
        <v>0</v>
      </c>
      <c r="G41" s="1" t="s">
        <v>4</v>
      </c>
      <c r="H41" s="1">
        <v>37</v>
      </c>
      <c r="K41" s="1" t="s">
        <v>4</v>
      </c>
      <c r="L41" s="1">
        <v>22</v>
      </c>
    </row>
    <row r="42" spans="1:32" x14ac:dyDescent="0.35">
      <c r="A42" s="1" t="s">
        <v>3</v>
      </c>
      <c r="B42" s="1">
        <v>0</v>
      </c>
      <c r="G42" s="1" t="s">
        <v>5</v>
      </c>
      <c r="H42" s="1">
        <v>13</v>
      </c>
      <c r="K42" s="1" t="s">
        <v>5</v>
      </c>
      <c r="L42" s="1">
        <v>8</v>
      </c>
    </row>
    <row r="43" spans="1:32" x14ac:dyDescent="0.35">
      <c r="A43" s="1" t="s">
        <v>4</v>
      </c>
      <c r="B43" s="1">
        <v>12</v>
      </c>
      <c r="G43" s="1" t="s">
        <v>6</v>
      </c>
      <c r="H43" s="1">
        <v>3</v>
      </c>
      <c r="K43" s="1" t="s">
        <v>6</v>
      </c>
      <c r="L43" s="1">
        <v>1</v>
      </c>
    </row>
    <row r="44" spans="1:32" x14ac:dyDescent="0.35">
      <c r="A44" s="1" t="s">
        <v>5</v>
      </c>
      <c r="B44" s="1">
        <v>0</v>
      </c>
      <c r="G44" s="1" t="s">
        <v>10</v>
      </c>
      <c r="H44" s="1">
        <f>SUM(H38:H43)</f>
        <v>123</v>
      </c>
      <c r="K44" s="1" t="s">
        <v>10</v>
      </c>
      <c r="L44" s="1">
        <f>SUM(L38:L43)</f>
        <v>86</v>
      </c>
    </row>
    <row r="45" spans="1:32" x14ac:dyDescent="0.35">
      <c r="A45" s="1" t="s">
        <v>6</v>
      </c>
      <c r="B45" s="1">
        <v>0</v>
      </c>
      <c r="G45" s="1" t="s">
        <v>11</v>
      </c>
      <c r="H45" s="8" t="s">
        <v>20</v>
      </c>
      <c r="K45" s="1" t="s">
        <v>11</v>
      </c>
      <c r="L45" s="8" t="s">
        <v>21</v>
      </c>
    </row>
    <row r="46" spans="1:32" x14ac:dyDescent="0.35">
      <c r="E46" t="s">
        <v>36</v>
      </c>
    </row>
    <row r="47" spans="1:32" x14ac:dyDescent="0.35">
      <c r="F47" s="1">
        <v>15</v>
      </c>
      <c r="G47" s="1">
        <v>16</v>
      </c>
      <c r="H47" s="1">
        <v>17</v>
      </c>
      <c r="I47" s="1">
        <v>18</v>
      </c>
      <c r="J47" s="1">
        <v>19</v>
      </c>
      <c r="K47" s="1">
        <v>20</v>
      </c>
      <c r="L47" s="1">
        <v>21</v>
      </c>
      <c r="M47" s="1">
        <v>22</v>
      </c>
      <c r="N47" s="1">
        <v>23</v>
      </c>
      <c r="O47" s="1">
        <v>24</v>
      </c>
      <c r="P47" s="1">
        <v>25</v>
      </c>
      <c r="Q47" s="1">
        <v>26</v>
      </c>
      <c r="R47" s="1">
        <v>27</v>
      </c>
      <c r="S47" s="1">
        <v>28</v>
      </c>
      <c r="T47" s="1">
        <v>29</v>
      </c>
      <c r="U47" s="1">
        <v>30</v>
      </c>
      <c r="V47" s="1">
        <v>31</v>
      </c>
      <c r="W47" s="1">
        <v>32</v>
      </c>
      <c r="X47" s="1">
        <v>33</v>
      </c>
      <c r="Y47" s="1">
        <v>34</v>
      </c>
      <c r="Z47" s="1">
        <v>35</v>
      </c>
      <c r="AA47" s="1">
        <v>36</v>
      </c>
      <c r="AB47" s="1">
        <v>37</v>
      </c>
      <c r="AC47" s="1">
        <v>38</v>
      </c>
      <c r="AD47" s="1">
        <v>39</v>
      </c>
      <c r="AE47" s="1">
        <v>40</v>
      </c>
      <c r="AF47" s="1">
        <v>41</v>
      </c>
    </row>
    <row r="48" spans="1:32" x14ac:dyDescent="0.35">
      <c r="F48" s="2" t="s">
        <v>1</v>
      </c>
      <c r="G48" s="3" t="s">
        <v>2</v>
      </c>
      <c r="H48" s="4" t="s">
        <v>3</v>
      </c>
      <c r="I48" s="5" t="s">
        <v>4</v>
      </c>
      <c r="J48" s="6" t="s">
        <v>5</v>
      </c>
      <c r="K48" s="7" t="s">
        <v>6</v>
      </c>
      <c r="L48" s="2" t="s">
        <v>1</v>
      </c>
      <c r="M48" s="4" t="s">
        <v>3</v>
      </c>
      <c r="N48" s="5" t="s">
        <v>4</v>
      </c>
      <c r="O48" s="6" t="s">
        <v>5</v>
      </c>
      <c r="P48" s="7" t="s">
        <v>6</v>
      </c>
      <c r="Q48" s="2" t="s">
        <v>1</v>
      </c>
      <c r="R48" s="4" t="s">
        <v>3</v>
      </c>
      <c r="S48" s="5" t="s">
        <v>4</v>
      </c>
      <c r="T48" s="6" t="s">
        <v>5</v>
      </c>
      <c r="U48" s="2" t="s">
        <v>1</v>
      </c>
      <c r="V48" s="4" t="s">
        <v>3</v>
      </c>
      <c r="W48" s="5" t="s">
        <v>4</v>
      </c>
      <c r="X48" s="2" t="s">
        <v>1</v>
      </c>
      <c r="Y48" s="5" t="s">
        <v>4</v>
      </c>
      <c r="Z48" s="5" t="s">
        <v>4</v>
      </c>
      <c r="AA48" s="5" t="s">
        <v>4</v>
      </c>
      <c r="AB48" s="5" t="s">
        <v>4</v>
      </c>
      <c r="AC48" s="5" t="s">
        <v>4</v>
      </c>
      <c r="AD48" s="5" t="s">
        <v>4</v>
      </c>
      <c r="AE48" s="5" t="s">
        <v>4</v>
      </c>
      <c r="AF48" s="5" t="s">
        <v>4</v>
      </c>
    </row>
    <row r="49" spans="1:20" x14ac:dyDescent="0.35">
      <c r="A49" s="1"/>
      <c r="B49" s="1" t="s">
        <v>0</v>
      </c>
    </row>
    <row r="50" spans="1:20" x14ac:dyDescent="0.35">
      <c r="A50" s="1" t="s">
        <v>1</v>
      </c>
      <c r="B50" s="1">
        <v>1</v>
      </c>
      <c r="F50" t="s">
        <v>9</v>
      </c>
      <c r="G50" s="1" t="s">
        <v>1</v>
      </c>
      <c r="H50" s="1">
        <v>34</v>
      </c>
      <c r="J50" t="s">
        <v>12</v>
      </c>
      <c r="K50" s="1" t="s">
        <v>1</v>
      </c>
      <c r="L50" s="1">
        <v>15</v>
      </c>
    </row>
    <row r="51" spans="1:20" x14ac:dyDescent="0.35">
      <c r="A51" s="1" t="s">
        <v>2</v>
      </c>
      <c r="B51" s="1">
        <v>0</v>
      </c>
      <c r="G51" s="1" t="s">
        <v>2</v>
      </c>
      <c r="H51" s="1">
        <v>15</v>
      </c>
      <c r="K51" s="1" t="s">
        <v>2</v>
      </c>
      <c r="L51" s="1">
        <v>14</v>
      </c>
    </row>
    <row r="52" spans="1:20" x14ac:dyDescent="0.35">
      <c r="A52" s="1" t="s">
        <v>3</v>
      </c>
      <c r="B52" s="1">
        <v>0</v>
      </c>
      <c r="G52" s="1" t="s">
        <v>3</v>
      </c>
      <c r="H52" s="1">
        <v>29</v>
      </c>
      <c r="K52" s="1" t="s">
        <v>3</v>
      </c>
      <c r="L52" s="1">
        <v>14</v>
      </c>
    </row>
    <row r="53" spans="1:20" x14ac:dyDescent="0.35">
      <c r="A53" s="1" t="s">
        <v>4</v>
      </c>
      <c r="B53" s="1">
        <v>8</v>
      </c>
      <c r="G53" s="1" t="s">
        <v>4</v>
      </c>
      <c r="H53" s="1">
        <v>37</v>
      </c>
      <c r="K53" s="1" t="s">
        <v>4</v>
      </c>
      <c r="L53" s="1">
        <v>13</v>
      </c>
    </row>
    <row r="54" spans="1:20" x14ac:dyDescent="0.35">
      <c r="A54" s="1" t="s">
        <v>5</v>
      </c>
      <c r="B54" s="1">
        <v>0</v>
      </c>
      <c r="G54" s="1" t="s">
        <v>5</v>
      </c>
      <c r="H54" s="1">
        <v>20</v>
      </c>
      <c r="K54" s="1" t="s">
        <v>5</v>
      </c>
      <c r="L54" s="1">
        <v>9</v>
      </c>
    </row>
    <row r="55" spans="1:20" x14ac:dyDescent="0.35">
      <c r="A55" s="1" t="s">
        <v>6</v>
      </c>
      <c r="B55" s="1">
        <v>0</v>
      </c>
      <c r="G55" s="1" t="s">
        <v>6</v>
      </c>
      <c r="H55" s="1">
        <v>11</v>
      </c>
      <c r="K55" s="1" t="s">
        <v>6</v>
      </c>
      <c r="L55" s="1">
        <v>5</v>
      </c>
    </row>
    <row r="56" spans="1:20" x14ac:dyDescent="0.35">
      <c r="G56" s="1" t="s">
        <v>10</v>
      </c>
      <c r="H56" s="1">
        <f>SUM(H50:H55)</f>
        <v>146</v>
      </c>
      <c r="K56" s="1" t="s">
        <v>10</v>
      </c>
      <c r="L56" s="1">
        <f>SUM(L50:L55)</f>
        <v>70</v>
      </c>
    </row>
    <row r="57" spans="1:20" x14ac:dyDescent="0.35">
      <c r="G57" s="1" t="s">
        <v>11</v>
      </c>
      <c r="H57" s="8" t="s">
        <v>23</v>
      </c>
      <c r="K57" s="1" t="s">
        <v>11</v>
      </c>
      <c r="L57" s="8" t="s">
        <v>22</v>
      </c>
    </row>
    <row r="63" spans="1:20" x14ac:dyDescent="0.35">
      <c r="I63" s="1">
        <v>100</v>
      </c>
      <c r="J63" s="1">
        <v>200</v>
      </c>
      <c r="K63" s="1">
        <v>300</v>
      </c>
      <c r="L63" s="1">
        <v>350</v>
      </c>
      <c r="M63" s="1">
        <v>450</v>
      </c>
      <c r="N63" s="1">
        <v>470</v>
      </c>
      <c r="O63" s="1">
        <v>620</v>
      </c>
      <c r="P63" s="1">
        <v>770</v>
      </c>
      <c r="Q63" s="1">
        <v>870</v>
      </c>
      <c r="R63" s="1">
        <v>970</v>
      </c>
      <c r="S63" s="1">
        <v>1170</v>
      </c>
      <c r="T63" s="1">
        <v>1220</v>
      </c>
    </row>
    <row r="64" spans="1:20" x14ac:dyDescent="0.35">
      <c r="A64" s="1" t="s">
        <v>24</v>
      </c>
      <c r="B64" s="1" t="s">
        <v>25</v>
      </c>
      <c r="C64" s="1" t="s">
        <v>26</v>
      </c>
      <c r="E64" s="1"/>
      <c r="F64" s="1" t="s">
        <v>32</v>
      </c>
      <c r="I64" s="9" t="s">
        <v>27</v>
      </c>
      <c r="J64" s="7" t="s">
        <v>28</v>
      </c>
      <c r="K64" s="10" t="s">
        <v>29</v>
      </c>
      <c r="L64" s="4" t="s">
        <v>30</v>
      </c>
      <c r="M64" s="11" t="s">
        <v>31</v>
      </c>
      <c r="N64" s="9" t="s">
        <v>27</v>
      </c>
      <c r="O64" s="7" t="s">
        <v>28</v>
      </c>
      <c r="P64" s="10" t="s">
        <v>29</v>
      </c>
      <c r="Q64" s="11" t="s">
        <v>31</v>
      </c>
      <c r="R64" s="7" t="s">
        <v>28</v>
      </c>
      <c r="S64" s="10" t="s">
        <v>29</v>
      </c>
      <c r="T64" s="10" t="s">
        <v>29</v>
      </c>
    </row>
    <row r="65" spans="1:15" x14ac:dyDescent="0.35">
      <c r="A65" s="1">
        <v>100</v>
      </c>
      <c r="B65" s="1">
        <v>150</v>
      </c>
      <c r="C65" s="1">
        <v>200</v>
      </c>
      <c r="E65" s="1" t="s">
        <v>27</v>
      </c>
      <c r="F65" s="1">
        <v>0</v>
      </c>
    </row>
    <row r="66" spans="1:15" x14ac:dyDescent="0.35">
      <c r="E66" s="1" t="s">
        <v>28</v>
      </c>
      <c r="F66" s="1">
        <v>0</v>
      </c>
    </row>
    <row r="67" spans="1:15" x14ac:dyDescent="0.35">
      <c r="E67" s="1" t="s">
        <v>29</v>
      </c>
      <c r="F67" s="1">
        <v>50</v>
      </c>
    </row>
    <row r="68" spans="1:15" x14ac:dyDescent="0.35">
      <c r="E68" s="1" t="s">
        <v>30</v>
      </c>
      <c r="F68" s="1">
        <v>0</v>
      </c>
      <c r="I68" t="s">
        <v>9</v>
      </c>
      <c r="J68" s="1" t="s">
        <v>27</v>
      </c>
      <c r="K68" s="1">
        <v>470</v>
      </c>
      <c r="M68" t="s">
        <v>12</v>
      </c>
      <c r="N68" s="1" t="s">
        <v>27</v>
      </c>
      <c r="O68" s="1">
        <v>0</v>
      </c>
    </row>
    <row r="69" spans="1:15" x14ac:dyDescent="0.35">
      <c r="E69" s="1" t="s">
        <v>31</v>
      </c>
      <c r="F69" s="1">
        <v>0</v>
      </c>
      <c r="J69" s="1" t="s">
        <v>28</v>
      </c>
      <c r="K69" s="1">
        <v>970</v>
      </c>
      <c r="N69" s="1" t="s">
        <v>28</v>
      </c>
      <c r="O69" s="1">
        <v>100</v>
      </c>
    </row>
    <row r="70" spans="1:15" x14ac:dyDescent="0.35">
      <c r="J70" s="1" t="s">
        <v>29</v>
      </c>
      <c r="K70" s="1">
        <v>1220</v>
      </c>
      <c r="N70" s="1" t="s">
        <v>29</v>
      </c>
      <c r="O70" s="1">
        <v>200</v>
      </c>
    </row>
    <row r="71" spans="1:15" x14ac:dyDescent="0.35">
      <c r="J71" s="1" t="s">
        <v>30</v>
      </c>
      <c r="K71" s="1">
        <v>350</v>
      </c>
      <c r="N71" s="1" t="s">
        <v>30</v>
      </c>
      <c r="O71" s="1">
        <v>300</v>
      </c>
    </row>
    <row r="72" spans="1:15" x14ac:dyDescent="0.35">
      <c r="J72" s="1" t="s">
        <v>31</v>
      </c>
      <c r="K72" s="1">
        <v>870</v>
      </c>
      <c r="N72" s="1" t="s">
        <v>31</v>
      </c>
      <c r="O72" s="1">
        <v>350</v>
      </c>
    </row>
    <row r="73" spans="1:15" x14ac:dyDescent="0.35">
      <c r="J73" s="1"/>
      <c r="K73" s="1"/>
      <c r="N73" s="1"/>
      <c r="O73" s="1"/>
    </row>
    <row r="74" spans="1:15" x14ac:dyDescent="0.35">
      <c r="J74" s="1" t="s">
        <v>10</v>
      </c>
      <c r="K74" s="1">
        <f>SUM(K68:K73)</f>
        <v>3880</v>
      </c>
      <c r="N74" s="1" t="s">
        <v>10</v>
      </c>
      <c r="O74" s="1">
        <f>SUM(O68:O73)</f>
        <v>950</v>
      </c>
    </row>
    <row r="75" spans="1:15" x14ac:dyDescent="0.35">
      <c r="J75" s="1" t="s">
        <v>11</v>
      </c>
      <c r="K75" s="8" t="s">
        <v>33</v>
      </c>
      <c r="N75" s="1" t="s">
        <v>11</v>
      </c>
      <c r="O75" s="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2024-10-21T09:27:14Z</dcterms:created>
  <dcterms:modified xsi:type="dcterms:W3CDTF">2024-10-24T09:47:27Z</dcterms:modified>
</cp:coreProperties>
</file>