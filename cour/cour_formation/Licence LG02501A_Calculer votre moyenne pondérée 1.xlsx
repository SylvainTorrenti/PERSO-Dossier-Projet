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orrs\Downloads\"/>
    </mc:Choice>
  </mc:AlternateContent>
  <xr:revisionPtr revIDLastSave="0" documentId="13_ncr:1_{C6A6F7EB-D195-4520-B432-3FCC6C2DA2AB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Licence" sheetId="1" r:id="rId1"/>
    <sheet name="LG025_Coeff_UE" sheetId="2" r:id="rId2"/>
  </sheets>
  <definedNames>
    <definedName name="Tableau_UE">LG025_Coeff_UE!$A$1:$C$57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E16" i="1" s="1"/>
  <c r="C17" i="1"/>
  <c r="E17" i="1" s="1"/>
  <c r="C15" i="1"/>
  <c r="E15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8" i="1"/>
  <c r="E8" i="1" s="1"/>
  <c r="B16" i="1"/>
  <c r="B17" i="1"/>
  <c r="B15" i="1"/>
  <c r="B9" i="1"/>
  <c r="B10" i="1"/>
  <c r="B11" i="1"/>
  <c r="B12" i="1"/>
  <c r="B13" i="1"/>
  <c r="B14" i="1"/>
  <c r="B8" i="1"/>
  <c r="C18" i="1" l="1"/>
  <c r="E18" i="1"/>
  <c r="G12" i="1" s="1"/>
  <c r="E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Ghislaine gg. Grégoire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Ghislaine gg. Grégoire:</t>
        </r>
        <r>
          <rPr>
            <sz val="9"/>
            <color indexed="81"/>
            <rFont val="Tahoma"/>
            <family val="2"/>
          </rPr>
          <t xml:space="preserve">
Entrez vos notes dans cette colonne</t>
        </r>
      </text>
    </comment>
    <comment ref="A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Ghislaine gg. Grégoire:</t>
        </r>
        <r>
          <rPr>
            <sz val="9"/>
            <color indexed="81"/>
            <rFont val="Tahoma"/>
            <family val="2"/>
          </rPr>
          <t xml:space="preserve">
Ici entrez le code des 3 UE de votre choix
</t>
        </r>
      </text>
    </comment>
  </commentList>
</comments>
</file>

<file path=xl/sharedStrings.xml><?xml version="1.0" encoding="utf-8"?>
<sst xmlns="http://schemas.openxmlformats.org/spreadsheetml/2006/main" count="83" uniqueCount="72">
  <si>
    <t>UTC501</t>
  </si>
  <si>
    <t>UTC502</t>
  </si>
  <si>
    <t>UTC503</t>
  </si>
  <si>
    <t>UTC504</t>
  </si>
  <si>
    <t>UTC505</t>
  </si>
  <si>
    <t>ANG200</t>
  </si>
  <si>
    <t>GDN100</t>
  </si>
  <si>
    <t>UE1</t>
  </si>
  <si>
    <t>UE2</t>
  </si>
  <si>
    <t>UE3</t>
  </si>
  <si>
    <t>Coefficient</t>
  </si>
  <si>
    <t>UE</t>
  </si>
  <si>
    <t>Moyenne pondérée</t>
  </si>
  <si>
    <t>STA001</t>
  </si>
  <si>
    <t>Non présent dans le tableau du CNAM déduit des autres coefficients</t>
  </si>
  <si>
    <t>SEC105</t>
  </si>
  <si>
    <t>SEC102</t>
  </si>
  <si>
    <t>SEC101</t>
  </si>
  <si>
    <t>MUX101</t>
  </si>
  <si>
    <t>SMB101</t>
  </si>
  <si>
    <t>RSX102</t>
  </si>
  <si>
    <t>RSX101</t>
  </si>
  <si>
    <t>RCP105</t>
  </si>
  <si>
    <t>RCP101</t>
  </si>
  <si>
    <t>NSY115</t>
  </si>
  <si>
    <t>NSY104</t>
  </si>
  <si>
    <t>NSY103</t>
  </si>
  <si>
    <t>NSY014</t>
  </si>
  <si>
    <t>GLG105</t>
  </si>
  <si>
    <t>NFP121</t>
  </si>
  <si>
    <t>NFP120</t>
  </si>
  <si>
    <t>NFP119</t>
  </si>
  <si>
    <t>NFP107</t>
  </si>
  <si>
    <t>NFE115</t>
  </si>
  <si>
    <t>NFE114</t>
  </si>
  <si>
    <t>NFE108</t>
  </si>
  <si>
    <t>NFA035</t>
  </si>
  <si>
    <t>NFA032</t>
  </si>
  <si>
    <t>NFA031</t>
  </si>
  <si>
    <t>NFA025</t>
  </si>
  <si>
    <t>NFA024</t>
  </si>
  <si>
    <t>NFA022</t>
  </si>
  <si>
    <t>NFA021</t>
  </si>
  <si>
    <t>NFA019</t>
  </si>
  <si>
    <t>NFA018</t>
  </si>
  <si>
    <t>NFA017</t>
  </si>
  <si>
    <t>NFA016</t>
  </si>
  <si>
    <t>NFA013</t>
  </si>
  <si>
    <t>NFA011</t>
  </si>
  <si>
    <t>NFA010</t>
  </si>
  <si>
    <t>NFA009</t>
  </si>
  <si>
    <t>NFA008</t>
  </si>
  <si>
    <t>NFA007</t>
  </si>
  <si>
    <t>NFA006</t>
  </si>
  <si>
    <t>NFA004</t>
  </si>
  <si>
    <t>NFA003</t>
  </si>
  <si>
    <t>MVA010</t>
  </si>
  <si>
    <t>MVA004</t>
  </si>
  <si>
    <t>MVA003</t>
  </si>
  <si>
    <t>ELE015</t>
  </si>
  <si>
    <t>BNF104</t>
  </si>
  <si>
    <t>BCA001</t>
  </si>
  <si>
    <t>ANG300</t>
  </si>
  <si>
    <t>ECTS</t>
  </si>
  <si>
    <t>code UE</t>
  </si>
  <si>
    <t>Coeff.</t>
  </si>
  <si>
    <t>Note sur 20</t>
  </si>
  <si>
    <t>Coeff. x Note</t>
  </si>
  <si>
    <t>Licence - LG02501A</t>
  </si>
  <si>
    <t>Calculez de votre moyenne pondérée</t>
  </si>
  <si>
    <t>Nom auditeur</t>
  </si>
  <si>
    <r>
      <rPr>
        <b/>
        <i/>
        <sz val="11"/>
        <color theme="1"/>
        <rFont val="Calibri"/>
        <family val="2"/>
        <scheme val="minor"/>
      </rPr>
      <t>Choisir 3 UE à choisir parmi 5 domaines de compétences</t>
    </r>
    <r>
      <rPr>
        <i/>
        <sz val="11"/>
        <color theme="1"/>
        <rFont val="Calibri"/>
        <family val="2"/>
        <scheme val="minor"/>
      </rPr>
      <t xml:space="preserve"> :
RCP101, NFP107, SEC102 ou SMB101, SEC105 ou </t>
    </r>
    <r>
      <rPr>
        <i/>
        <sz val="11"/>
        <color theme="8"/>
        <rFont val="Calibri"/>
        <family val="2"/>
        <scheme val="minor"/>
      </rPr>
      <t>RSX102</t>
    </r>
    <r>
      <rPr>
        <i/>
        <sz val="11"/>
        <color theme="1"/>
        <rFont val="Calibri"/>
        <family val="2"/>
        <scheme val="minor"/>
      </rPr>
      <t xml:space="preserve">, </t>
    </r>
    <r>
      <rPr>
        <i/>
        <sz val="11"/>
        <color theme="8"/>
        <rFont val="Calibri"/>
        <family val="2"/>
        <scheme val="minor"/>
      </rPr>
      <t>NFP121</t>
    </r>
    <r>
      <rPr>
        <i/>
        <sz val="11"/>
        <color theme="1"/>
        <rFont val="Calibri"/>
        <family val="2"/>
        <scheme val="minor"/>
      </rPr>
      <t xml:space="preserve"> ou </t>
    </r>
    <r>
      <rPr>
        <i/>
        <sz val="11"/>
        <color theme="8"/>
        <rFont val="Calibri"/>
        <family val="2"/>
        <scheme val="minor"/>
      </rPr>
      <t xml:space="preserve">NSY115 (UE de 2ème année)
</t>
    </r>
    <r>
      <rPr>
        <i/>
        <sz val="11"/>
        <rFont val="Calibri"/>
        <family val="2"/>
        <scheme val="minor"/>
      </rPr>
      <t>SEC102 et SEC105 sont exclusives, une seule des 2 peut être choisie.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</si>
</sst>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family val="2"/>
      <scheme val="minor"/>
    </font>
    <font>
      <i/>
      <sz val="11"/>
      <color theme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Alignment="1">
      <alignment horizontal="right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5" borderId="1" xfId="0" applyFill="1" applyBorder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3" xfId="0" applyBorder="1"/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0" fillId="0" borderId="4" xfId="0" applyBorder="1"/>
    <xf numFmtId="0" fontId="0" fillId="0" borderId="12" xfId="0" applyBorder="1"/>
    <xf numFmtId="0" fontId="0" fillId="5" borderId="3" xfId="0" applyFill="1" applyBorder="1"/>
    <xf numFmtId="0" fontId="0" fillId="6" borderId="4" xfId="0" applyFill="1" applyBorder="1" applyProtection="1">
      <protection locked="0"/>
    </xf>
    <xf numFmtId="0" fontId="0" fillId="6" borderId="6" xfId="0" applyFill="1" applyBorder="1" applyProtection="1">
      <protection locked="0"/>
    </xf>
    <xf numFmtId="2" fontId="0" fillId="5" borderId="13" xfId="0" applyNumberFormat="1" applyFill="1" applyBorder="1"/>
    <xf numFmtId="2" fontId="0" fillId="5" borderId="5" xfId="0" applyNumberFormat="1" applyFill="1" applyBorder="1"/>
    <xf numFmtId="2" fontId="0" fillId="0" borderId="3" xfId="0" applyNumberFormat="1" applyBorder="1"/>
    <xf numFmtId="2" fontId="1" fillId="0" borderId="0" xfId="0" applyNumberFormat="1" applyFont="1"/>
    <xf numFmtId="0" fontId="4" fillId="0" borderId="0" xfId="0" applyFont="1" applyAlignment="1">
      <alignment horizontal="center"/>
    </xf>
    <xf numFmtId="2" fontId="0" fillId="7" borderId="3" xfId="0" applyNumberFormat="1" applyFill="1" applyBorder="1" applyProtection="1">
      <protection locked="0"/>
    </xf>
    <xf numFmtId="0" fontId="0" fillId="0" borderId="1" xfId="0" applyBorder="1"/>
    <xf numFmtId="2" fontId="0" fillId="0" borderId="5" xfId="0" applyNumberFormat="1" applyBorder="1"/>
    <xf numFmtId="0" fontId="0" fillId="0" borderId="7" xfId="0" applyBorder="1"/>
    <xf numFmtId="2" fontId="0" fillId="0" borderId="8" xfId="0" applyNumberFormat="1" applyBorder="1"/>
    <xf numFmtId="0" fontId="1" fillId="0" borderId="0" xfId="0" applyFon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/>
    </xf>
    <xf numFmtId="0" fontId="1" fillId="0" borderId="0" xfId="0" applyFont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4" fillId="7" borderId="0" xfId="0" applyFont="1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</cellXfs>
  <cellStyles count="2">
    <cellStyle name="Lien hypertexte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175260</xdr:rowOff>
    </xdr:from>
    <xdr:to>
      <xdr:col>5</xdr:col>
      <xdr:colOff>1615440</xdr:colOff>
      <xdr:row>25</xdr:row>
      <xdr:rowOff>60960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3558540"/>
          <a:ext cx="490728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3 conditions à réunir pour obtenir la licence  LG02501A :</a:t>
          </a:r>
        </a:p>
        <a:p>
          <a:r>
            <a:rPr lang="fr-FR" sz="1100"/>
            <a:t>-  Etre titulaire d'un Bac+ 2 informatique ou scientifique ou en être dispensé (VAPP)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/>
            <a:t>- 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Avoir une moyenne pondérée au moins égale à 10 aux UE ci-dessus</a:t>
          </a:r>
          <a:endParaRPr lang="fr-FR">
            <a:effectLst/>
          </a:endParaRPr>
        </a:p>
        <a:p>
          <a:r>
            <a:rPr lang="fr-FR" sz="1100"/>
            <a:t>-  Justifier de 1 an d'expérience dans le domaine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edeo.cnam.fr/public/cursus/pdf/LG02501A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2" sqref="F12"/>
    </sheetView>
  </sheetViews>
  <sheetFormatPr baseColWidth="10" defaultRowHeight="14.5" x14ac:dyDescent="0.35"/>
  <cols>
    <col min="1" max="1" width="14.1796875" customWidth="1"/>
    <col min="2" max="2" width="5.08984375" bestFit="1" customWidth="1"/>
    <col min="3" max="3" width="6.08984375" bestFit="1" customWidth="1"/>
    <col min="4" max="4" width="10.54296875" bestFit="1" customWidth="1"/>
    <col min="5" max="5" width="12" bestFit="1" customWidth="1"/>
    <col min="6" max="6" width="81.6328125" customWidth="1"/>
    <col min="7" max="7" width="31" customWidth="1"/>
  </cols>
  <sheetData>
    <row r="1" spans="1:7" ht="15" customHeight="1" x14ac:dyDescent="0.35">
      <c r="A1" s="33" t="s">
        <v>68</v>
      </c>
      <c r="B1" s="34"/>
      <c r="C1" s="3"/>
      <c r="D1" s="2"/>
      <c r="E1" s="2"/>
    </row>
    <row r="2" spans="1:7" ht="13.25" customHeight="1" x14ac:dyDescent="0.35">
      <c r="A2" s="1"/>
      <c r="B2" s="1"/>
      <c r="C2" s="1"/>
      <c r="D2" s="1"/>
      <c r="E2" s="1"/>
    </row>
    <row r="3" spans="1:7" ht="15" customHeight="1" x14ac:dyDescent="0.45">
      <c r="A3" s="35" t="s">
        <v>69</v>
      </c>
      <c r="B3" s="35"/>
      <c r="C3" s="35"/>
      <c r="D3" s="35"/>
      <c r="E3" s="35"/>
    </row>
    <row r="4" spans="1:7" ht="15" customHeight="1" x14ac:dyDescent="0.45">
      <c r="A4" s="26"/>
      <c r="B4" s="26"/>
      <c r="C4" s="26"/>
      <c r="D4" s="26"/>
      <c r="E4" s="26"/>
    </row>
    <row r="5" spans="1:7" ht="15" customHeight="1" x14ac:dyDescent="0.45">
      <c r="A5" s="32" t="s">
        <v>70</v>
      </c>
      <c r="B5" s="41"/>
      <c r="C5" s="42"/>
      <c r="D5" s="42"/>
      <c r="E5" s="42"/>
    </row>
    <row r="6" spans="1:7" ht="15" customHeight="1" thickBot="1" x14ac:dyDescent="0.4"/>
    <row r="7" spans="1:7" ht="15" customHeight="1" thickBot="1" x14ac:dyDescent="0.4">
      <c r="A7" s="13" t="s">
        <v>11</v>
      </c>
      <c r="B7" s="14" t="s">
        <v>63</v>
      </c>
      <c r="C7" s="14" t="s">
        <v>65</v>
      </c>
      <c r="D7" s="15" t="s">
        <v>66</v>
      </c>
      <c r="E7" s="16" t="s">
        <v>67</v>
      </c>
    </row>
    <row r="8" spans="1:7" ht="15" customHeight="1" x14ac:dyDescent="0.35">
      <c r="A8" s="18" t="s">
        <v>0</v>
      </c>
      <c r="B8" s="19">
        <f t="shared" ref="B8:B14" si="0">VLOOKUP($A8,Tableau_UE,2,FALSE)</f>
        <v>3</v>
      </c>
      <c r="C8" s="19">
        <f t="shared" ref="C8:C14" si="1">VLOOKUP($A8,Tableau_UE,3,FALSE)</f>
        <v>1</v>
      </c>
      <c r="D8" s="27">
        <v>11</v>
      </c>
      <c r="E8" s="22">
        <f>D8*C8</f>
        <v>11</v>
      </c>
    </row>
    <row r="9" spans="1:7" ht="15" customHeight="1" x14ac:dyDescent="0.35">
      <c r="A9" s="17" t="s">
        <v>1</v>
      </c>
      <c r="B9" s="9">
        <f t="shared" si="0"/>
        <v>3</v>
      </c>
      <c r="C9" s="9">
        <f t="shared" si="1"/>
        <v>1</v>
      </c>
      <c r="D9" s="27">
        <v>11.5</v>
      </c>
      <c r="E9" s="23">
        <f t="shared" ref="E9:E17" si="2">D9*C9</f>
        <v>11.5</v>
      </c>
    </row>
    <row r="10" spans="1:7" ht="15" customHeight="1" x14ac:dyDescent="0.35">
      <c r="A10" s="17" t="s">
        <v>2</v>
      </c>
      <c r="B10" s="9">
        <f t="shared" si="0"/>
        <v>3</v>
      </c>
      <c r="C10" s="9">
        <f t="shared" si="1"/>
        <v>1</v>
      </c>
      <c r="D10" s="27">
        <v>14</v>
      </c>
      <c r="E10" s="23">
        <f t="shared" si="2"/>
        <v>14</v>
      </c>
    </row>
    <row r="11" spans="1:7" ht="15" customHeight="1" x14ac:dyDescent="0.35">
      <c r="A11" s="17" t="s">
        <v>3</v>
      </c>
      <c r="B11" s="9">
        <f t="shared" si="0"/>
        <v>3</v>
      </c>
      <c r="C11" s="9">
        <f t="shared" si="1"/>
        <v>1</v>
      </c>
      <c r="D11" s="27">
        <v>14.3</v>
      </c>
      <c r="E11" s="23">
        <f t="shared" si="2"/>
        <v>14.3</v>
      </c>
    </row>
    <row r="12" spans="1:7" ht="15" customHeight="1" x14ac:dyDescent="0.35">
      <c r="A12" s="17" t="s">
        <v>4</v>
      </c>
      <c r="B12" s="9">
        <f t="shared" si="0"/>
        <v>3</v>
      </c>
      <c r="C12" s="9">
        <f t="shared" si="1"/>
        <v>1</v>
      </c>
      <c r="D12" s="27">
        <v>7.5</v>
      </c>
      <c r="E12" s="23">
        <f t="shared" si="2"/>
        <v>7.5</v>
      </c>
      <c r="G12">
        <f>E18/5</f>
        <v>34.200000000000003</v>
      </c>
    </row>
    <row r="13" spans="1:7" ht="15" customHeight="1" x14ac:dyDescent="0.35">
      <c r="A13" s="17" t="s">
        <v>5</v>
      </c>
      <c r="B13" s="9">
        <f t="shared" si="0"/>
        <v>6</v>
      </c>
      <c r="C13" s="9">
        <f t="shared" si="1"/>
        <v>1</v>
      </c>
      <c r="D13" s="27">
        <v>10</v>
      </c>
      <c r="E13" s="23">
        <f t="shared" si="2"/>
        <v>10</v>
      </c>
    </row>
    <row r="14" spans="1:7" ht="15" customHeight="1" x14ac:dyDescent="0.35">
      <c r="A14" s="17" t="s">
        <v>6</v>
      </c>
      <c r="B14" s="9">
        <f t="shared" si="0"/>
        <v>4</v>
      </c>
      <c r="C14" s="9">
        <f t="shared" si="1"/>
        <v>1</v>
      </c>
      <c r="D14" s="27">
        <v>10</v>
      </c>
      <c r="E14" s="23">
        <f t="shared" si="2"/>
        <v>10</v>
      </c>
    </row>
    <row r="15" spans="1:7" ht="15" customHeight="1" x14ac:dyDescent="0.35">
      <c r="A15" s="20" t="s">
        <v>7</v>
      </c>
      <c r="B15" s="28">
        <f>IF(VLOOKUP($A15,Tableau_UE,1,TRUE)=$A15,VLOOKUP($A15,Tableau_UE,2,FALSE),6)</f>
        <v>6</v>
      </c>
      <c r="C15" s="28">
        <f>IF(VLOOKUP($A15,Tableau_UE,1,TRUE)=$A15,VLOOKUP($A15,Tableau_UE,3,FALSE),3)</f>
        <v>3</v>
      </c>
      <c r="D15" s="27">
        <v>15.4</v>
      </c>
      <c r="E15" s="29">
        <f t="shared" si="2"/>
        <v>46.2</v>
      </c>
      <c r="F15" s="36" t="s">
        <v>71</v>
      </c>
    </row>
    <row r="16" spans="1:7" ht="15" customHeight="1" x14ac:dyDescent="0.35">
      <c r="A16" s="20" t="s">
        <v>8</v>
      </c>
      <c r="B16" s="28">
        <f>IF(VLOOKUP($A16,Tableau_UE,1,TRUE)=$A16,VLOOKUP($A16,Tableau_UE,2,FALSE),6)</f>
        <v>6</v>
      </c>
      <c r="C16" s="28">
        <f>IF(VLOOKUP($A16,Tableau_UE,1,TRUE)=$A16,VLOOKUP($A16,Tableau_UE,3,FALSE),3)</f>
        <v>3</v>
      </c>
      <c r="D16" s="27">
        <v>5.5</v>
      </c>
      <c r="E16" s="29">
        <f t="shared" si="2"/>
        <v>16.5</v>
      </c>
      <c r="F16" s="37"/>
    </row>
    <row r="17" spans="1:6" ht="15" customHeight="1" thickBot="1" x14ac:dyDescent="0.4">
      <c r="A17" s="21" t="s">
        <v>9</v>
      </c>
      <c r="B17" s="30">
        <f>IF(VLOOKUP($A17,Tableau_UE,1,TRUE)=$A17,VLOOKUP($A17,Tableau_UE,2,FALSE),6)</f>
        <v>6</v>
      </c>
      <c r="C17" s="30">
        <f>IF(VLOOKUP($A17,Tableau_UE,1,TRUE)=$A17,VLOOKUP($A17,Tableau_UE,3,FALSE),3)</f>
        <v>3</v>
      </c>
      <c r="D17" s="27">
        <v>10</v>
      </c>
      <c r="E17" s="31">
        <f t="shared" si="2"/>
        <v>30</v>
      </c>
      <c r="F17" s="37"/>
    </row>
    <row r="18" spans="1:6" x14ac:dyDescent="0.35">
      <c r="A18" s="39"/>
      <c r="B18" s="40"/>
      <c r="C18" s="12">
        <f>SUM(C8:C17)</f>
        <v>16</v>
      </c>
      <c r="E18" s="24">
        <f>SUM(E8:E17)</f>
        <v>171</v>
      </c>
    </row>
    <row r="19" spans="1:6" x14ac:dyDescent="0.35">
      <c r="A19" s="10"/>
      <c r="B19" s="10"/>
      <c r="E19" s="11"/>
    </row>
    <row r="20" spans="1:6" x14ac:dyDescent="0.35">
      <c r="A20" s="38" t="s">
        <v>12</v>
      </c>
      <c r="B20" s="38"/>
      <c r="C20" s="38"/>
      <c r="D20" s="38"/>
      <c r="E20" s="25">
        <f>E18/C18</f>
        <v>10.6875</v>
      </c>
    </row>
  </sheetData>
  <mergeCells count="6">
    <mergeCell ref="A1:B1"/>
    <mergeCell ref="A3:E3"/>
    <mergeCell ref="F15:F17"/>
    <mergeCell ref="A20:D20"/>
    <mergeCell ref="A18:B18"/>
    <mergeCell ref="B5:E5"/>
  </mergeCells>
  <conditionalFormatting sqref="E20">
    <cfRule type="cellIs" dxfId="1" priority="1" operator="lessThan">
      <formula>10</formula>
    </cfRule>
    <cfRule type="cellIs" dxfId="0" priority="2" operator="greaterThanOrEqual">
      <formula>10</formula>
    </cfRule>
  </conditionalFormatting>
  <hyperlinks>
    <hyperlink ref="A1" r:id="rId1" display="Licence LG02501A" xr:uid="{00000000-0004-0000-0000-000000000000}"/>
  </hyperlinks>
  <pageMargins left="0.7" right="0.7" top="0.75" bottom="0.75" header="0.3" footer="0.3"/>
  <pageSetup paperSize="9" orientation="landscape" horizontalDpi="300" verticalDpi="300" r:id="rId2"/>
  <ignoredErrors>
    <ignoredError sqref="E8:E17 E20" unlockedFormula="1"/>
  </ignoredError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topLeftCell="A32" workbookViewId="0">
      <selection activeCell="C49" sqref="C49"/>
    </sheetView>
  </sheetViews>
  <sheetFormatPr baseColWidth="10" defaultRowHeight="14.5" x14ac:dyDescent="0.35"/>
  <sheetData>
    <row r="1" spans="1:4" x14ac:dyDescent="0.35">
      <c r="A1" s="4" t="s">
        <v>64</v>
      </c>
      <c r="B1" s="4" t="s">
        <v>63</v>
      </c>
      <c r="C1" s="4" t="s">
        <v>10</v>
      </c>
    </row>
    <row r="2" spans="1:4" x14ac:dyDescent="0.35">
      <c r="A2" s="5" t="s">
        <v>5</v>
      </c>
      <c r="B2" s="6">
        <v>6</v>
      </c>
      <c r="C2" s="6">
        <v>1</v>
      </c>
    </row>
    <row r="3" spans="1:4" x14ac:dyDescent="0.35">
      <c r="A3" s="5" t="s">
        <v>62</v>
      </c>
      <c r="B3" s="6">
        <v>6</v>
      </c>
      <c r="C3" s="6">
        <v>1</v>
      </c>
    </row>
    <row r="4" spans="1:4" x14ac:dyDescent="0.35">
      <c r="A4" s="5" t="s">
        <v>61</v>
      </c>
      <c r="B4" s="6">
        <v>6</v>
      </c>
      <c r="C4" s="6">
        <v>1</v>
      </c>
    </row>
    <row r="5" spans="1:4" x14ac:dyDescent="0.35">
      <c r="A5" s="5" t="s">
        <v>60</v>
      </c>
      <c r="B5" s="6">
        <v>6</v>
      </c>
      <c r="C5" s="6">
        <v>1</v>
      </c>
      <c r="D5" t="s">
        <v>14</v>
      </c>
    </row>
    <row r="6" spans="1:4" x14ac:dyDescent="0.35">
      <c r="A6" s="5" t="s">
        <v>59</v>
      </c>
      <c r="B6" s="6">
        <v>6</v>
      </c>
      <c r="C6" s="6">
        <v>1</v>
      </c>
    </row>
    <row r="7" spans="1:4" x14ac:dyDescent="0.35">
      <c r="A7" s="7" t="s">
        <v>6</v>
      </c>
      <c r="B7" s="8">
        <v>4</v>
      </c>
      <c r="C7" s="8">
        <v>1</v>
      </c>
    </row>
    <row r="8" spans="1:4" x14ac:dyDescent="0.35">
      <c r="A8" s="5" t="s">
        <v>28</v>
      </c>
      <c r="B8" s="6">
        <v>6</v>
      </c>
      <c r="C8" s="6">
        <v>3</v>
      </c>
    </row>
    <row r="9" spans="1:4" x14ac:dyDescent="0.35">
      <c r="A9" s="7" t="s">
        <v>18</v>
      </c>
      <c r="B9" s="8">
        <v>6</v>
      </c>
      <c r="C9" s="8">
        <v>3</v>
      </c>
    </row>
    <row r="10" spans="1:4" x14ac:dyDescent="0.35">
      <c r="A10" s="5" t="s">
        <v>58</v>
      </c>
      <c r="B10" s="6">
        <v>6</v>
      </c>
      <c r="C10" s="6">
        <v>1</v>
      </c>
    </row>
    <row r="11" spans="1:4" x14ac:dyDescent="0.35">
      <c r="A11" s="5" t="s">
        <v>57</v>
      </c>
      <c r="B11" s="6">
        <v>6</v>
      </c>
      <c r="C11" s="6">
        <v>1</v>
      </c>
    </row>
    <row r="12" spans="1:4" x14ac:dyDescent="0.35">
      <c r="A12" s="5" t="s">
        <v>56</v>
      </c>
      <c r="B12" s="6">
        <v>4</v>
      </c>
      <c r="C12" s="6">
        <v>1</v>
      </c>
    </row>
    <row r="13" spans="1:4" x14ac:dyDescent="0.35">
      <c r="A13" s="5" t="s">
        <v>55</v>
      </c>
      <c r="B13" s="6">
        <v>4</v>
      </c>
      <c r="C13" s="6">
        <v>1</v>
      </c>
    </row>
    <row r="14" spans="1:4" x14ac:dyDescent="0.35">
      <c r="A14" s="5" t="s">
        <v>54</v>
      </c>
      <c r="B14" s="6">
        <v>4</v>
      </c>
      <c r="C14" s="6">
        <v>1</v>
      </c>
    </row>
    <row r="15" spans="1:4" x14ac:dyDescent="0.35">
      <c r="A15" s="5" t="s">
        <v>53</v>
      </c>
      <c r="B15" s="6">
        <v>4</v>
      </c>
      <c r="C15" s="6">
        <v>1</v>
      </c>
    </row>
    <row r="16" spans="1:4" x14ac:dyDescent="0.35">
      <c r="A16" s="5" t="s">
        <v>52</v>
      </c>
      <c r="B16" s="6">
        <v>4</v>
      </c>
      <c r="C16" s="6">
        <v>1</v>
      </c>
    </row>
    <row r="17" spans="1:3" x14ac:dyDescent="0.35">
      <c r="A17" s="5" t="s">
        <v>51</v>
      </c>
      <c r="B17" s="6">
        <v>6</v>
      </c>
      <c r="C17" s="6">
        <v>1</v>
      </c>
    </row>
    <row r="18" spans="1:3" x14ac:dyDescent="0.35">
      <c r="A18" s="5" t="s">
        <v>50</v>
      </c>
      <c r="B18" s="6">
        <v>6</v>
      </c>
      <c r="C18" s="6">
        <v>1</v>
      </c>
    </row>
    <row r="19" spans="1:3" x14ac:dyDescent="0.35">
      <c r="A19" s="5" t="s">
        <v>49</v>
      </c>
      <c r="B19" s="6">
        <v>6</v>
      </c>
      <c r="C19" s="6">
        <v>1</v>
      </c>
    </row>
    <row r="20" spans="1:3" x14ac:dyDescent="0.35">
      <c r="A20" s="5" t="s">
        <v>48</v>
      </c>
      <c r="B20" s="6">
        <v>4</v>
      </c>
      <c r="C20" s="6">
        <v>1</v>
      </c>
    </row>
    <row r="21" spans="1:3" x14ac:dyDescent="0.35">
      <c r="A21" s="5" t="s">
        <v>47</v>
      </c>
      <c r="B21" s="6">
        <v>4</v>
      </c>
      <c r="C21" s="6">
        <v>1</v>
      </c>
    </row>
    <row r="22" spans="1:3" x14ac:dyDescent="0.35">
      <c r="A22" s="5" t="s">
        <v>46</v>
      </c>
      <c r="B22" s="6">
        <v>4</v>
      </c>
      <c r="C22" s="6">
        <v>1</v>
      </c>
    </row>
    <row r="23" spans="1:3" x14ac:dyDescent="0.35">
      <c r="A23" s="5" t="s">
        <v>45</v>
      </c>
      <c r="B23" s="6">
        <v>4</v>
      </c>
      <c r="C23" s="6">
        <v>1</v>
      </c>
    </row>
    <row r="24" spans="1:3" x14ac:dyDescent="0.35">
      <c r="A24" s="5" t="s">
        <v>44</v>
      </c>
      <c r="B24" s="6">
        <v>4</v>
      </c>
      <c r="C24" s="6">
        <v>1</v>
      </c>
    </row>
    <row r="25" spans="1:3" x14ac:dyDescent="0.35">
      <c r="A25" s="5" t="s">
        <v>43</v>
      </c>
      <c r="B25" s="6">
        <v>6</v>
      </c>
      <c r="C25" s="6">
        <v>1</v>
      </c>
    </row>
    <row r="26" spans="1:3" x14ac:dyDescent="0.35">
      <c r="A26" s="5" t="s">
        <v>42</v>
      </c>
      <c r="B26" s="6">
        <v>6</v>
      </c>
      <c r="C26" s="6">
        <v>1</v>
      </c>
    </row>
    <row r="27" spans="1:3" x14ac:dyDescent="0.35">
      <c r="A27" s="5" t="s">
        <v>41</v>
      </c>
      <c r="B27" s="6">
        <v>4</v>
      </c>
      <c r="C27" s="6">
        <v>1</v>
      </c>
    </row>
    <row r="28" spans="1:3" x14ac:dyDescent="0.35">
      <c r="A28" s="5" t="s">
        <v>40</v>
      </c>
      <c r="B28" s="6">
        <v>6</v>
      </c>
      <c r="C28" s="6">
        <v>1</v>
      </c>
    </row>
    <row r="29" spans="1:3" x14ac:dyDescent="0.35">
      <c r="A29" s="5" t="s">
        <v>39</v>
      </c>
      <c r="B29" s="6">
        <v>6</v>
      </c>
      <c r="C29" s="6">
        <v>1</v>
      </c>
    </row>
    <row r="30" spans="1:3" x14ac:dyDescent="0.35">
      <c r="A30" s="5" t="s">
        <v>38</v>
      </c>
      <c r="B30" s="6">
        <v>6</v>
      </c>
      <c r="C30" s="6">
        <v>1</v>
      </c>
    </row>
    <row r="31" spans="1:3" x14ac:dyDescent="0.35">
      <c r="A31" s="5" t="s">
        <v>37</v>
      </c>
      <c r="B31" s="6">
        <v>6</v>
      </c>
      <c r="C31" s="6">
        <v>1</v>
      </c>
    </row>
    <row r="32" spans="1:3" x14ac:dyDescent="0.35">
      <c r="A32" s="5" t="s">
        <v>36</v>
      </c>
      <c r="B32" s="6">
        <v>4</v>
      </c>
      <c r="C32" s="6">
        <v>1</v>
      </c>
    </row>
    <row r="33" spans="1:4" x14ac:dyDescent="0.35">
      <c r="A33" s="5" t="s">
        <v>35</v>
      </c>
      <c r="B33" s="6">
        <v>6</v>
      </c>
      <c r="C33" s="6">
        <v>3</v>
      </c>
    </row>
    <row r="34" spans="1:4" x14ac:dyDescent="0.35">
      <c r="A34" s="5" t="s">
        <v>34</v>
      </c>
      <c r="B34" s="6">
        <v>6</v>
      </c>
      <c r="C34" s="6">
        <v>3</v>
      </c>
    </row>
    <row r="35" spans="1:4" x14ac:dyDescent="0.35">
      <c r="A35" s="5" t="s">
        <v>33</v>
      </c>
      <c r="B35" s="6">
        <v>6</v>
      </c>
      <c r="C35" s="6">
        <v>3</v>
      </c>
    </row>
    <row r="36" spans="1:4" x14ac:dyDescent="0.35">
      <c r="A36" s="5" t="s">
        <v>32</v>
      </c>
      <c r="B36" s="6">
        <v>6</v>
      </c>
      <c r="C36" s="6">
        <v>3</v>
      </c>
    </row>
    <row r="37" spans="1:4" x14ac:dyDescent="0.35">
      <c r="A37" s="5" t="s">
        <v>31</v>
      </c>
      <c r="B37" s="6">
        <v>6</v>
      </c>
      <c r="C37" s="6">
        <v>3</v>
      </c>
    </row>
    <row r="38" spans="1:4" x14ac:dyDescent="0.35">
      <c r="A38" s="5" t="s">
        <v>30</v>
      </c>
      <c r="B38" s="6">
        <v>6</v>
      </c>
      <c r="C38" s="6">
        <v>3</v>
      </c>
    </row>
    <row r="39" spans="1:4" x14ac:dyDescent="0.35">
      <c r="A39" s="5" t="s">
        <v>29</v>
      </c>
      <c r="B39" s="6">
        <v>6</v>
      </c>
      <c r="C39" s="6">
        <v>3</v>
      </c>
    </row>
    <row r="40" spans="1:4" x14ac:dyDescent="0.35">
      <c r="A40" s="5" t="s">
        <v>27</v>
      </c>
      <c r="B40" s="6">
        <v>6</v>
      </c>
      <c r="C40" s="6">
        <v>3</v>
      </c>
    </row>
    <row r="41" spans="1:4" x14ac:dyDescent="0.35">
      <c r="A41" s="5" t="s">
        <v>26</v>
      </c>
      <c r="B41" s="6">
        <v>6</v>
      </c>
      <c r="C41" s="6">
        <v>3</v>
      </c>
    </row>
    <row r="42" spans="1:4" x14ac:dyDescent="0.35">
      <c r="A42" s="5" t="s">
        <v>25</v>
      </c>
      <c r="B42" s="6">
        <v>6</v>
      </c>
      <c r="C42" s="6">
        <v>3</v>
      </c>
    </row>
    <row r="43" spans="1:4" x14ac:dyDescent="0.35">
      <c r="A43" s="5" t="s">
        <v>24</v>
      </c>
      <c r="B43" s="6">
        <v>6</v>
      </c>
      <c r="C43" s="6">
        <v>3</v>
      </c>
    </row>
    <row r="44" spans="1:4" x14ac:dyDescent="0.35">
      <c r="A44" s="5" t="s">
        <v>23</v>
      </c>
      <c r="B44" s="6">
        <v>6</v>
      </c>
      <c r="C44" s="6">
        <v>3</v>
      </c>
    </row>
    <row r="45" spans="1:4" x14ac:dyDescent="0.35">
      <c r="A45" s="5" t="s">
        <v>22</v>
      </c>
      <c r="B45" s="6">
        <v>6</v>
      </c>
      <c r="C45" s="6">
        <v>3</v>
      </c>
    </row>
    <row r="46" spans="1:4" x14ac:dyDescent="0.35">
      <c r="A46" s="5" t="s">
        <v>21</v>
      </c>
      <c r="B46" s="6">
        <v>6</v>
      </c>
      <c r="C46" s="6">
        <v>3</v>
      </c>
    </row>
    <row r="47" spans="1:4" x14ac:dyDescent="0.35">
      <c r="A47" s="5" t="s">
        <v>20</v>
      </c>
      <c r="B47" s="6">
        <v>6</v>
      </c>
      <c r="C47" s="6">
        <v>3</v>
      </c>
      <c r="D47" t="s">
        <v>14</v>
      </c>
    </row>
    <row r="48" spans="1:4" x14ac:dyDescent="0.35">
      <c r="A48" s="5" t="s">
        <v>17</v>
      </c>
      <c r="B48" s="6">
        <v>6</v>
      </c>
      <c r="C48" s="6">
        <v>3</v>
      </c>
      <c r="D48" t="s">
        <v>14</v>
      </c>
    </row>
    <row r="49" spans="1:4" x14ac:dyDescent="0.35">
      <c r="A49" s="5" t="s">
        <v>16</v>
      </c>
      <c r="B49" s="6">
        <v>6</v>
      </c>
      <c r="C49" s="6">
        <v>3</v>
      </c>
    </row>
    <row r="50" spans="1:4" x14ac:dyDescent="0.35">
      <c r="A50" s="7" t="s">
        <v>15</v>
      </c>
      <c r="B50" s="8">
        <v>6</v>
      </c>
      <c r="C50" s="8">
        <v>3</v>
      </c>
    </row>
    <row r="51" spans="1:4" x14ac:dyDescent="0.35">
      <c r="A51" s="7" t="s">
        <v>19</v>
      </c>
      <c r="B51" s="8">
        <v>6</v>
      </c>
      <c r="C51" s="8">
        <v>3</v>
      </c>
      <c r="D51" t="s">
        <v>14</v>
      </c>
    </row>
    <row r="52" spans="1:4" x14ac:dyDescent="0.35">
      <c r="A52" s="5" t="s">
        <v>13</v>
      </c>
      <c r="B52" s="6">
        <v>6</v>
      </c>
      <c r="C52" s="6">
        <v>1</v>
      </c>
    </row>
    <row r="53" spans="1:4" x14ac:dyDescent="0.35">
      <c r="A53" s="7" t="s">
        <v>0</v>
      </c>
      <c r="B53" s="8">
        <v>3</v>
      </c>
      <c r="C53" s="8">
        <v>1</v>
      </c>
    </row>
    <row r="54" spans="1:4" x14ac:dyDescent="0.35">
      <c r="A54" s="7" t="s">
        <v>1</v>
      </c>
      <c r="B54" s="8">
        <v>3</v>
      </c>
      <c r="C54" s="8">
        <v>1</v>
      </c>
    </row>
    <row r="55" spans="1:4" x14ac:dyDescent="0.35">
      <c r="A55" s="7" t="s">
        <v>2</v>
      </c>
      <c r="B55" s="8">
        <v>3</v>
      </c>
      <c r="C55" s="8">
        <v>1</v>
      </c>
    </row>
    <row r="56" spans="1:4" x14ac:dyDescent="0.35">
      <c r="A56" s="7" t="s">
        <v>3</v>
      </c>
      <c r="B56" s="8">
        <v>3</v>
      </c>
      <c r="C56" s="8">
        <v>1</v>
      </c>
    </row>
    <row r="57" spans="1:4" ht="15.75" customHeight="1" x14ac:dyDescent="0.35">
      <c r="A57" s="7" t="s">
        <v>4</v>
      </c>
      <c r="B57" s="8">
        <v>3</v>
      </c>
      <c r="C57" s="8">
        <v>1</v>
      </c>
    </row>
  </sheetData>
  <sheetProtection sheet="1" objects="1" scenarios="1"/>
  <sortState xmlns:xlrd2="http://schemas.microsoft.com/office/spreadsheetml/2017/richdata2" ref="A2:C67">
    <sortCondition ref="A2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Licence</vt:lpstr>
      <vt:lpstr>LG025_Coeff_UE</vt:lpstr>
      <vt:lpstr>Tableau_UE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gg. Grégoire</dc:creator>
  <cp:lastModifiedBy>Sylvain Torrenti</cp:lastModifiedBy>
  <cp:lastPrinted>2021-01-23T08:19:34Z</cp:lastPrinted>
  <dcterms:created xsi:type="dcterms:W3CDTF">2021-01-20T20:27:25Z</dcterms:created>
  <dcterms:modified xsi:type="dcterms:W3CDTF">2025-08-18T11:35:15Z</dcterms:modified>
</cp:coreProperties>
</file>