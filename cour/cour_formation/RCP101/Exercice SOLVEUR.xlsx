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GitHub\Dossier-Projet\cour\cour formation\RCP101\"/>
    </mc:Choice>
  </mc:AlternateContent>
  <xr:revisionPtr revIDLastSave="0" documentId="13_ncr:1_{37E774E7-D17C-4F0B-A684-247971CA1F65}" xr6:coauthVersionLast="47" xr6:coauthVersionMax="47" xr10:uidLastSave="{00000000-0000-0000-0000-000000000000}"/>
  <bookViews>
    <workbookView xWindow="-110" yWindow="-110" windowWidth="25820" windowHeight="15500" activeTab="3" xr2:uid="{90B57167-D7BE-4612-82E1-46C9B2A4F86F}"/>
  </bookViews>
  <sheets>
    <sheet name="Exo diapo 107" sheetId="1" r:id="rId1"/>
    <sheet name="Td PL 01" sheetId="2" r:id="rId2"/>
    <sheet name="Td PL 02" sheetId="3" r:id="rId3"/>
    <sheet name="Entrainement Sportif" sheetId="6" r:id="rId4"/>
  </sheets>
  <definedNames>
    <definedName name="solver_adj" localSheetId="3" hidden="1">'Entrainement Sportif'!$E$5:$F$5</definedName>
    <definedName name="solver_adj" localSheetId="0" hidden="1">'Exo diapo 107'!$D$6:$E$6</definedName>
    <definedName name="solver_adj" localSheetId="1" hidden="1">'Td PL 01'!$D$5:$F$5</definedName>
    <definedName name="solver_adj" localSheetId="2" hidden="1">'Td PL 02'!$E$7:$H$7</definedName>
    <definedName name="solver_cvg" localSheetId="3" hidden="1">0.0001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3" hidden="1">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3" hidden="1">2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st" localSheetId="3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3" hidden="1">2147483647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0" localSheetId="3" hidden="1">'Entrainement Sportif'!$G$17</definedName>
    <definedName name="solver_lhs1" localSheetId="3" hidden="1">'Entrainement Sportif'!$G$15</definedName>
    <definedName name="solver_lhs1" localSheetId="0" hidden="1">'Exo diapo 107'!$F$10</definedName>
    <definedName name="solver_lhs1" localSheetId="1" hidden="1">'Td PL 01'!$D$5</definedName>
    <definedName name="solver_lhs1" localSheetId="2" hidden="1">'Td PL 02'!$I$10</definedName>
    <definedName name="solver_lhs2" localSheetId="3" hidden="1">'Entrainement Sportif'!$G$16</definedName>
    <definedName name="solver_lhs2" localSheetId="0" hidden="1">'Exo diapo 107'!$F$11</definedName>
    <definedName name="solver_lhs2" localSheetId="1" hidden="1">'Td PL 01'!$D$8:$F$8</definedName>
    <definedName name="solver_lhs2" localSheetId="2" hidden="1">'Td PL 02'!$I$11</definedName>
    <definedName name="solver_lhs3" localSheetId="3" hidden="1">'Entrainement Sportif'!$G$17</definedName>
    <definedName name="solver_lhs3" localSheetId="0" hidden="1">'Exo diapo 107'!$F$9</definedName>
    <definedName name="solver_lhs3" localSheetId="1" hidden="1">'Td PL 01'!$D$9:$F$9</definedName>
    <definedName name="solver_lhs3" localSheetId="2" hidden="1">'Td PL 02'!$I$12</definedName>
    <definedName name="solver_lhs4" localSheetId="3" hidden="1">'Entrainement Sportif'!$G$18</definedName>
    <definedName name="solver_lhs4" localSheetId="1" hidden="1">'Td PL 01'!$E$5</definedName>
    <definedName name="solver_lhs4" localSheetId="2" hidden="1">'Td PL 02'!$I$13</definedName>
    <definedName name="solver_lhs5" localSheetId="3" hidden="1">'Entrainement Sportif'!$G$19</definedName>
    <definedName name="solver_lhs5" localSheetId="1" hidden="1">'Td PL 01'!$F$5</definedName>
    <definedName name="solver_mip" localSheetId="3" hidden="1">2147483647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3" hidden="1">30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3" hidden="1">0.075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3" hidden="1">2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3" hidden="1">1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3" hidden="1">2147483647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3" hidden="1">5</definedName>
    <definedName name="solver_num" localSheetId="0" hidden="1">3</definedName>
    <definedName name="solver_num" localSheetId="1" hidden="1">5</definedName>
    <definedName name="solver_num" localSheetId="2" hidden="1">4</definedName>
    <definedName name="solver_nwt" localSheetId="3" hidden="1">1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3" hidden="1">'Entrainement Sportif'!$E$11</definedName>
    <definedName name="solver_opt" localSheetId="0" hidden="1">'Exo diapo 107'!$H$6</definedName>
    <definedName name="solver_opt" localSheetId="1" hidden="1">'Td PL 01'!$H$5</definedName>
    <definedName name="solver_opt" localSheetId="2" hidden="1">'Td PL 02'!$K$6</definedName>
    <definedName name="solver_pre" localSheetId="3" hidden="1">0.000001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3" hidden="1">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el0" localSheetId="3" hidden="1">1</definedName>
    <definedName name="solver_rel1" localSheetId="3" hidden="1">1</definedName>
    <definedName name="solver_rel1" localSheetId="0" hidden="1">1</definedName>
    <definedName name="solver_rel1" localSheetId="1" hidden="1">2</definedName>
    <definedName name="solver_rel1" localSheetId="2" hidden="1">1</definedName>
    <definedName name="solver_rel2" localSheetId="3" hidden="1">1</definedName>
    <definedName name="solver_rel2" localSheetId="0" hidden="1">1</definedName>
    <definedName name="solver_rel2" localSheetId="1" hidden="1">1</definedName>
    <definedName name="solver_rel2" localSheetId="2" hidden="1">1</definedName>
    <definedName name="solver_rel3" localSheetId="3" hidden="1">3</definedName>
    <definedName name="solver_rel3" localSheetId="0" hidden="1">1</definedName>
    <definedName name="solver_rel3" localSheetId="1" hidden="1">1</definedName>
    <definedName name="solver_rel3" localSheetId="2" hidden="1">1</definedName>
    <definedName name="solver_rel4" localSheetId="3" hidden="1">3</definedName>
    <definedName name="solver_rel4" localSheetId="1" hidden="1">3</definedName>
    <definedName name="solver_rel4" localSheetId="2" hidden="1">1</definedName>
    <definedName name="solver_rel5" localSheetId="3" hidden="1">3</definedName>
    <definedName name="solver_rel5" localSheetId="1" hidden="1">3</definedName>
    <definedName name="solver_rhs0" localSheetId="3" hidden="1">'Entrainement Sportif'!$I$17</definedName>
    <definedName name="solver_rhs1" localSheetId="3" hidden="1">'Entrainement Sportif'!$I$15</definedName>
    <definedName name="solver_rhs1" localSheetId="0" hidden="1">'Exo diapo 107'!$G$10</definedName>
    <definedName name="solver_rhs1" localSheetId="1" hidden="1">'Td PL 01'!$J$10</definedName>
    <definedName name="solver_rhs1" localSheetId="2" hidden="1">'Td PL 02'!$J$10</definedName>
    <definedName name="solver_rhs2" localSheetId="3" hidden="1">'Entrainement Sportif'!$I$16</definedName>
    <definedName name="solver_rhs2" localSheetId="0" hidden="1">'Exo diapo 107'!$G$11</definedName>
    <definedName name="solver_rhs2" localSheetId="1" hidden="1">'Td PL 01'!$I$8</definedName>
    <definedName name="solver_rhs2" localSheetId="2" hidden="1">'Td PL 02'!$J$11</definedName>
    <definedName name="solver_rhs3" localSheetId="3" hidden="1">'Entrainement Sportif'!$H$17</definedName>
    <definedName name="solver_rhs3" localSheetId="0" hidden="1">'Exo diapo 107'!$G$9</definedName>
    <definedName name="solver_rhs3" localSheetId="1" hidden="1">'Td PL 01'!$I$9</definedName>
    <definedName name="solver_rhs3" localSheetId="2" hidden="1">'Td PL 02'!$J$12</definedName>
    <definedName name="solver_rhs4" localSheetId="3" hidden="1">'Entrainement Sportif'!$H$18</definedName>
    <definedName name="solver_rhs4" localSheetId="1" hidden="1">'Td PL 01'!$E$11</definedName>
    <definedName name="solver_rhs4" localSheetId="2" hidden="1">'Td PL 02'!$J$13</definedName>
    <definedName name="solver_rhs5" localSheetId="3" hidden="1">'Entrainement Sportif'!$H$19</definedName>
    <definedName name="solver_rhs5" localSheetId="1" hidden="1">'Td PL 01'!$F$11</definedName>
    <definedName name="solver_rlx" localSheetId="3" hidden="1">2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3" hidden="1">0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3" hidden="1">1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ho" localSheetId="3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3" hidden="1">100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3" hidden="1">2147483647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3" hidden="1">0.01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3" hidden="1">2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val" localSheetId="3" hidden="1">0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3" hidden="1">3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6" l="1"/>
  <c r="G15" i="6"/>
  <c r="G16" i="6"/>
  <c r="G17" i="6"/>
  <c r="G18" i="6"/>
  <c r="G19" i="6"/>
  <c r="H19" i="6"/>
  <c r="I13" i="3"/>
  <c r="I12" i="3"/>
  <c r="I11" i="3"/>
  <c r="I10" i="3"/>
  <c r="K6" i="3"/>
  <c r="J10" i="2"/>
  <c r="F10" i="2"/>
  <c r="E10" i="2"/>
  <c r="H8" i="2"/>
  <c r="H5" i="2"/>
  <c r="F10" i="1"/>
  <c r="F11" i="1"/>
  <c r="F9" i="1"/>
  <c r="H6" i="1"/>
  <c r="H9" i="2" l="1"/>
</calcChain>
</file>

<file path=xl/sharedStrings.xml><?xml version="1.0" encoding="utf-8"?>
<sst xmlns="http://schemas.openxmlformats.org/spreadsheetml/2006/main" count="68" uniqueCount="48">
  <si>
    <t>Nb Chausson</t>
  </si>
  <si>
    <t>Nb Tarte</t>
  </si>
  <si>
    <t>X1</t>
  </si>
  <si>
    <t>X2</t>
  </si>
  <si>
    <t>Contrainte</t>
  </si>
  <si>
    <t>Objectif</t>
  </si>
  <si>
    <t>Pommes</t>
  </si>
  <si>
    <t>Utilisé</t>
  </si>
  <si>
    <t>Disponible</t>
  </si>
  <si>
    <t>Pâte</t>
  </si>
  <si>
    <t>Plaque</t>
  </si>
  <si>
    <t>Variable de decision</t>
  </si>
  <si>
    <t>X3</t>
  </si>
  <si>
    <t>M1</t>
  </si>
  <si>
    <t>M2</t>
  </si>
  <si>
    <t>Nb P1</t>
  </si>
  <si>
    <t>Nb P2</t>
  </si>
  <si>
    <t>Nb P3</t>
  </si>
  <si>
    <t>P1</t>
  </si>
  <si>
    <t>Mini</t>
  </si>
  <si>
    <t>Besoin</t>
  </si>
  <si>
    <t>Nb M1</t>
  </si>
  <si>
    <t>X4</t>
  </si>
  <si>
    <t>Montage</t>
  </si>
  <si>
    <t>Test</t>
  </si>
  <si>
    <t>Transformateur</t>
  </si>
  <si>
    <t>Plaque HD</t>
  </si>
  <si>
    <t>Nb M2</t>
  </si>
  <si>
    <t>Nb M3 HD</t>
  </si>
  <si>
    <t>Nb M4 HD</t>
  </si>
  <si>
    <t>Contraintes</t>
  </si>
  <si>
    <t>Max</t>
  </si>
  <si>
    <t>Fonction Objectif</t>
  </si>
  <si>
    <t>Variables de décision</t>
  </si>
  <si>
    <t>Min</t>
  </si>
  <si>
    <t>X2&gt;= 1/3 X1</t>
  </si>
  <si>
    <t>x1 + X2 &gt;= 20</t>
  </si>
  <si>
    <t>X1 &gt;=10</t>
  </si>
  <si>
    <t>X2&lt;=15</t>
  </si>
  <si>
    <t>X1 &lt;= 25</t>
  </si>
  <si>
    <t>Cout Minimal</t>
  </si>
  <si>
    <t>F : 10x1 + 12x2</t>
  </si>
  <si>
    <t xml:space="preserve"> </t>
  </si>
  <si>
    <t>x2 : Nbre d'heures sur Route</t>
  </si>
  <si>
    <t>x1 : Nbre heures en Salle</t>
  </si>
  <si>
    <t>x2</t>
  </si>
  <si>
    <t>x1</t>
  </si>
  <si>
    <t>MODELISATION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</si>
</sst>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6" borderId="0" xfId="0" applyFont="1" applyFill="1"/>
    <xf numFmtId="0" fontId="0" fillId="7" borderId="1" xfId="0" applyFill="1" applyBorder="1" applyAlignment="1">
      <alignment horizontal="center"/>
    </xf>
    <xf numFmtId="0" fontId="0" fillId="5" borderId="1" xfId="0" applyFill="1" applyBorder="1"/>
    <xf numFmtId="0" fontId="1" fillId="0" borderId="0" xfId="0" applyFont="1"/>
    <xf numFmtId="0" fontId="0" fillId="8" borderId="1" xfId="0" applyFill="1" applyBorder="1" applyAlignment="1">
      <alignment horizontal="center"/>
    </xf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5B62-7623-416A-BABA-EF93B80D4EEB}">
  <dimension ref="B3:H11"/>
  <sheetViews>
    <sheetView workbookViewId="0">
      <selection activeCell="E14" sqref="E14"/>
    </sheetView>
  </sheetViews>
  <sheetFormatPr baseColWidth="10" defaultRowHeight="14.5" x14ac:dyDescent="0.35"/>
  <cols>
    <col min="1" max="3" width="10.90625" style="1"/>
    <col min="4" max="4" width="16.81640625" style="1" customWidth="1"/>
    <col min="5" max="5" width="16.1796875" style="1" customWidth="1"/>
    <col min="6" max="16384" width="10.90625" style="1"/>
  </cols>
  <sheetData>
    <row r="3" spans="2:8" x14ac:dyDescent="0.35">
      <c r="B3" s="2"/>
      <c r="C3" s="2" t="s">
        <v>11</v>
      </c>
      <c r="D3" s="2"/>
    </row>
    <row r="4" spans="2:8" x14ac:dyDescent="0.35">
      <c r="D4" s="1" t="s">
        <v>0</v>
      </c>
      <c r="E4" s="1" t="s">
        <v>1</v>
      </c>
    </row>
    <row r="5" spans="2:8" x14ac:dyDescent="0.35">
      <c r="D5" s="1" t="s">
        <v>2</v>
      </c>
      <c r="E5" s="1" t="s">
        <v>3</v>
      </c>
      <c r="H5" s="3" t="s">
        <v>5</v>
      </c>
    </row>
    <row r="6" spans="2:8" x14ac:dyDescent="0.35">
      <c r="D6" s="2">
        <v>20</v>
      </c>
      <c r="E6" s="2">
        <v>5</v>
      </c>
      <c r="H6" s="3">
        <f>(D6*3)+(E6*12)</f>
        <v>120</v>
      </c>
    </row>
    <row r="7" spans="2:8" x14ac:dyDescent="0.35">
      <c r="D7" s="1">
        <v>0</v>
      </c>
    </row>
    <row r="8" spans="2:8" x14ac:dyDescent="0.35">
      <c r="B8" s="4" t="s">
        <v>4</v>
      </c>
      <c r="F8" s="1" t="s">
        <v>7</v>
      </c>
      <c r="G8" s="1" t="s">
        <v>8</v>
      </c>
    </row>
    <row r="9" spans="2:8" x14ac:dyDescent="0.35">
      <c r="C9" s="1" t="s">
        <v>6</v>
      </c>
      <c r="D9" s="1">
        <v>150</v>
      </c>
      <c r="E9" s="1">
        <v>1000</v>
      </c>
      <c r="F9" s="4">
        <f>($D$6*D9)+($E$6*E9)</f>
        <v>8000</v>
      </c>
      <c r="G9" s="1">
        <v>8000</v>
      </c>
    </row>
    <row r="10" spans="2:8" x14ac:dyDescent="0.35">
      <c r="C10" s="1" t="s">
        <v>9</v>
      </c>
      <c r="D10" s="1">
        <v>75</v>
      </c>
      <c r="E10" s="1">
        <v>200</v>
      </c>
      <c r="F10" s="4">
        <f t="shared" ref="F10:F11" si="0">($D$6*D10)+($E$6*E10)</f>
        <v>2500</v>
      </c>
      <c r="G10" s="1">
        <v>2500</v>
      </c>
    </row>
    <row r="11" spans="2:8" x14ac:dyDescent="0.35">
      <c r="C11" s="1" t="s">
        <v>10</v>
      </c>
      <c r="D11" s="1">
        <v>0</v>
      </c>
      <c r="E11" s="1">
        <v>1</v>
      </c>
      <c r="F11" s="4">
        <f t="shared" si="0"/>
        <v>5</v>
      </c>
      <c r="G11" s="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82D0F-5D48-4E9C-8085-C487EA516C6E}">
  <dimension ref="B2:J11"/>
  <sheetViews>
    <sheetView workbookViewId="0">
      <selection activeCell="H18" sqref="H18"/>
    </sheetView>
  </sheetViews>
  <sheetFormatPr baseColWidth="10" defaultRowHeight="14.5" x14ac:dyDescent="0.35"/>
  <cols>
    <col min="1" max="16384" width="10.90625" style="1"/>
  </cols>
  <sheetData>
    <row r="2" spans="2:10" x14ac:dyDescent="0.35">
      <c r="B2" s="2"/>
      <c r="C2" s="2" t="s">
        <v>11</v>
      </c>
      <c r="D2" s="2"/>
    </row>
    <row r="3" spans="2:10" x14ac:dyDescent="0.35">
      <c r="D3" s="1" t="s">
        <v>15</v>
      </c>
      <c r="E3" s="1" t="s">
        <v>16</v>
      </c>
      <c r="F3" s="1" t="s">
        <v>17</v>
      </c>
    </row>
    <row r="4" spans="2:10" x14ac:dyDescent="0.35">
      <c r="D4" s="1" t="s">
        <v>2</v>
      </c>
      <c r="E4" s="1" t="s">
        <v>3</v>
      </c>
      <c r="F4" s="1" t="s">
        <v>12</v>
      </c>
      <c r="H4" s="3" t="s">
        <v>5</v>
      </c>
    </row>
    <row r="5" spans="2:10" x14ac:dyDescent="0.35">
      <c r="D5" s="2">
        <v>71</v>
      </c>
      <c r="E5" s="2">
        <v>35</v>
      </c>
      <c r="F5" s="2">
        <v>18</v>
      </c>
      <c r="H5" s="3">
        <f>(E5*6)+(F5*7)</f>
        <v>336</v>
      </c>
    </row>
    <row r="7" spans="2:10" x14ac:dyDescent="0.35">
      <c r="B7" s="4" t="s">
        <v>4</v>
      </c>
      <c r="H7" s="1" t="s">
        <v>7</v>
      </c>
      <c r="I7" s="1" t="s">
        <v>8</v>
      </c>
      <c r="J7" s="1" t="s">
        <v>20</v>
      </c>
    </row>
    <row r="8" spans="2:10" x14ac:dyDescent="0.35">
      <c r="C8" s="1" t="s">
        <v>13</v>
      </c>
      <c r="D8" s="1">
        <v>0.6</v>
      </c>
      <c r="E8" s="1">
        <v>0.9</v>
      </c>
      <c r="F8" s="1">
        <v>1</v>
      </c>
      <c r="H8" s="4">
        <f>(D8*$D$5)+(E8*$E$5)+(F8*$F$5)</f>
        <v>92.1</v>
      </c>
      <c r="I8" s="1">
        <v>80</v>
      </c>
    </row>
    <row r="9" spans="2:10" x14ac:dyDescent="0.35">
      <c r="C9" s="1" t="s">
        <v>14</v>
      </c>
      <c r="D9" s="1">
        <v>1</v>
      </c>
      <c r="E9" s="1">
        <v>0.7</v>
      </c>
      <c r="F9" s="1">
        <v>1.1000000000000001</v>
      </c>
      <c r="H9" s="4">
        <f>(D9*$D$5)+(E9*$E$5)+(F9*$F$5)</f>
        <v>115.3</v>
      </c>
      <c r="I9" s="1">
        <v>70</v>
      </c>
    </row>
    <row r="10" spans="2:10" x14ac:dyDescent="0.35">
      <c r="C10" s="1" t="s">
        <v>18</v>
      </c>
      <c r="E10" s="1">
        <f>E5*1</f>
        <v>35</v>
      </c>
      <c r="F10" s="1">
        <f>F5*2</f>
        <v>36</v>
      </c>
      <c r="J10" s="1">
        <f>E5+(2*F5)</f>
        <v>71</v>
      </c>
    </row>
    <row r="11" spans="2:10" x14ac:dyDescent="0.35">
      <c r="C11" s="1" t="s">
        <v>19</v>
      </c>
      <c r="E11" s="1">
        <v>35</v>
      </c>
      <c r="F11" s="1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311D-1B20-4E49-BB41-E328AEBA084B}">
  <dimension ref="C4:K13"/>
  <sheetViews>
    <sheetView workbookViewId="0">
      <selection activeCell="I10" sqref="I10"/>
    </sheetView>
  </sheetViews>
  <sheetFormatPr baseColWidth="10" defaultRowHeight="14.5" x14ac:dyDescent="0.35"/>
  <cols>
    <col min="1" max="3" width="10.90625" style="1"/>
    <col min="4" max="4" width="15.6328125" style="1" customWidth="1"/>
    <col min="5" max="16384" width="10.90625" style="1"/>
  </cols>
  <sheetData>
    <row r="4" spans="3:11" x14ac:dyDescent="0.35">
      <c r="C4" s="2"/>
      <c r="D4" s="2" t="s">
        <v>11</v>
      </c>
      <c r="E4" s="2"/>
    </row>
    <row r="5" spans="3:11" x14ac:dyDescent="0.35">
      <c r="E5" s="1" t="s">
        <v>21</v>
      </c>
      <c r="F5" s="1" t="s">
        <v>27</v>
      </c>
      <c r="G5" s="1" t="s">
        <v>28</v>
      </c>
      <c r="H5" s="1" t="s">
        <v>29</v>
      </c>
      <c r="K5" s="3" t="s">
        <v>5</v>
      </c>
    </row>
    <row r="6" spans="3:11" x14ac:dyDescent="0.35">
      <c r="E6" s="1" t="s">
        <v>2</v>
      </c>
      <c r="F6" s="1" t="s">
        <v>3</v>
      </c>
      <c r="G6" s="1" t="s">
        <v>12</v>
      </c>
      <c r="H6" s="1" t="s">
        <v>22</v>
      </c>
      <c r="K6" s="3">
        <f>(E7*400)+(F7*600)+(G7*800)+(H7*1000)</f>
        <v>350000</v>
      </c>
    </row>
    <row r="7" spans="3:11" x14ac:dyDescent="0.35">
      <c r="E7" s="2">
        <v>0</v>
      </c>
      <c r="F7" s="2">
        <v>250</v>
      </c>
      <c r="G7" s="2">
        <v>0</v>
      </c>
      <c r="H7" s="2">
        <v>200</v>
      </c>
    </row>
    <row r="9" spans="3:11" x14ac:dyDescent="0.35">
      <c r="C9" s="4" t="s">
        <v>4</v>
      </c>
      <c r="I9" s="1" t="s">
        <v>7</v>
      </c>
      <c r="J9" s="1" t="s">
        <v>8</v>
      </c>
    </row>
    <row r="10" spans="3:11" x14ac:dyDescent="0.35">
      <c r="D10" s="1" t="s">
        <v>23</v>
      </c>
      <c r="E10" s="1">
        <v>8</v>
      </c>
      <c r="F10" s="1">
        <v>10</v>
      </c>
      <c r="G10" s="1">
        <v>12</v>
      </c>
      <c r="H10" s="1">
        <v>15</v>
      </c>
      <c r="I10" s="4">
        <f>($E$7*E10)+($F$7*F10)+($G$7*G10)+($H$7*H10)</f>
        <v>5500</v>
      </c>
      <c r="J10" s="1">
        <v>6000</v>
      </c>
    </row>
    <row r="11" spans="3:11" x14ac:dyDescent="0.35">
      <c r="D11" s="1" t="s">
        <v>24</v>
      </c>
      <c r="E11" s="1">
        <v>2</v>
      </c>
      <c r="F11" s="1">
        <v>2</v>
      </c>
      <c r="G11" s="1">
        <v>4</v>
      </c>
      <c r="H11" s="1">
        <v>5</v>
      </c>
      <c r="I11" s="4">
        <f>($E$7*E11)+($F$7*F11)+($G$7*G11)+($H$7*H11)</f>
        <v>1500</v>
      </c>
      <c r="J11" s="1">
        <v>1500</v>
      </c>
    </row>
    <row r="12" spans="3:11" x14ac:dyDescent="0.35">
      <c r="D12" s="1" t="s">
        <v>25</v>
      </c>
      <c r="E12" s="1">
        <v>1</v>
      </c>
      <c r="F12" s="1">
        <v>1</v>
      </c>
      <c r="G12" s="1">
        <v>1</v>
      </c>
      <c r="H12" s="1">
        <v>1</v>
      </c>
      <c r="I12" s="4">
        <f>($E$7*E12)+($F$7*F12)+($G$7*G12)+($H$7*H12)</f>
        <v>450</v>
      </c>
      <c r="J12" s="1">
        <v>450</v>
      </c>
    </row>
    <row r="13" spans="3:11" x14ac:dyDescent="0.35">
      <c r="D13" s="1" t="s">
        <v>26</v>
      </c>
      <c r="E13" s="1">
        <v>0</v>
      </c>
      <c r="F13" s="1">
        <v>0</v>
      </c>
      <c r="G13" s="1">
        <v>1</v>
      </c>
      <c r="H13" s="1">
        <v>1</v>
      </c>
      <c r="I13" s="4">
        <f>($E$7*E13)+($F$7*F13)+($G$7*G13)+($H$7*H13)</f>
        <v>200</v>
      </c>
      <c r="J13" s="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865B-EE7C-422F-92C2-325AB47AF4A3}">
  <dimension ref="B2:K20"/>
  <sheetViews>
    <sheetView showGridLines="0" tabSelected="1" topLeftCell="A4" zoomScale="130" zoomScaleNormal="130" workbookViewId="0">
      <selection activeCell="E26" sqref="E26"/>
    </sheetView>
  </sheetViews>
  <sheetFormatPr baseColWidth="10" defaultRowHeight="14.5" x14ac:dyDescent="0.35"/>
  <cols>
    <col min="1" max="1" width="2.81640625" customWidth="1"/>
    <col min="2" max="2" width="22.36328125" bestFit="1" customWidth="1"/>
    <col min="3" max="3" width="21.08984375" customWidth="1"/>
    <col min="4" max="4" width="2.54296875" customWidth="1"/>
  </cols>
  <sheetData>
    <row r="2" spans="2:10" x14ac:dyDescent="0.35">
      <c r="B2" s="10" t="s">
        <v>47</v>
      </c>
    </row>
    <row r="3" spans="2:10" x14ac:dyDescent="0.35">
      <c r="I3" s="1"/>
      <c r="J3" s="1"/>
    </row>
    <row r="4" spans="2:10" x14ac:dyDescent="0.35">
      <c r="B4" s="7" t="s">
        <v>33</v>
      </c>
      <c r="E4" s="8" t="s">
        <v>46</v>
      </c>
      <c r="F4" s="8" t="s">
        <v>45</v>
      </c>
      <c r="I4" s="1"/>
      <c r="J4" s="1"/>
    </row>
    <row r="5" spans="2:10" x14ac:dyDescent="0.35">
      <c r="B5" t="s">
        <v>44</v>
      </c>
      <c r="E5" s="12">
        <v>15</v>
      </c>
      <c r="F5" s="11">
        <v>5</v>
      </c>
      <c r="I5" s="1"/>
      <c r="J5" s="1"/>
    </row>
    <row r="6" spans="2:10" x14ac:dyDescent="0.35">
      <c r="B6" t="s">
        <v>43</v>
      </c>
      <c r="F6" s="1"/>
      <c r="H6" s="1"/>
      <c r="I6" s="1"/>
      <c r="J6" s="1"/>
    </row>
    <row r="8" spans="2:10" x14ac:dyDescent="0.35">
      <c r="C8" t="s">
        <v>42</v>
      </c>
    </row>
    <row r="9" spans="2:10" x14ac:dyDescent="0.35">
      <c r="B9" s="7" t="s">
        <v>32</v>
      </c>
      <c r="E9" s="8" t="s">
        <v>2</v>
      </c>
      <c r="F9" s="8" t="s">
        <v>3</v>
      </c>
      <c r="I9" s="1"/>
      <c r="J9" s="1"/>
    </row>
    <row r="10" spans="2:10" x14ac:dyDescent="0.35">
      <c r="B10" t="s">
        <v>41</v>
      </c>
      <c r="E10" s="5">
        <v>10</v>
      </c>
      <c r="F10" s="5">
        <v>12</v>
      </c>
      <c r="I10" s="1"/>
      <c r="J10" s="1"/>
    </row>
    <row r="11" spans="2:10" x14ac:dyDescent="0.35">
      <c r="B11" t="s">
        <v>40</v>
      </c>
      <c r="E11" s="9">
        <f>(E5*E10)+(F5*F10)</f>
        <v>210</v>
      </c>
      <c r="I11" s="1"/>
      <c r="J11" s="1"/>
    </row>
    <row r="12" spans="2:10" x14ac:dyDescent="0.35">
      <c r="I12" s="1"/>
      <c r="J12" s="1"/>
    </row>
    <row r="13" spans="2:10" x14ac:dyDescent="0.35">
      <c r="B13" s="7" t="s">
        <v>30</v>
      </c>
    </row>
    <row r="14" spans="2:10" x14ac:dyDescent="0.35">
      <c r="E14" s="8" t="s">
        <v>2</v>
      </c>
      <c r="F14" s="8" t="s">
        <v>3</v>
      </c>
      <c r="G14" s="8" t="s">
        <v>7</v>
      </c>
      <c r="H14" s="8" t="s">
        <v>34</v>
      </c>
      <c r="I14" s="8" t="s">
        <v>31</v>
      </c>
    </row>
    <row r="15" spans="2:10" x14ac:dyDescent="0.35">
      <c r="B15" t="s">
        <v>39</v>
      </c>
      <c r="G15" s="6">
        <f>$E$5</f>
        <v>15</v>
      </c>
      <c r="H15" s="5"/>
      <c r="I15" s="5">
        <v>25</v>
      </c>
    </row>
    <row r="16" spans="2:10" x14ac:dyDescent="0.35">
      <c r="B16" t="s">
        <v>38</v>
      </c>
      <c r="G16" s="6">
        <f>$F$5</f>
        <v>5</v>
      </c>
      <c r="H16" s="5"/>
      <c r="I16" s="5">
        <v>15</v>
      </c>
    </row>
    <row r="17" spans="2:11" x14ac:dyDescent="0.35">
      <c r="B17" t="s">
        <v>37</v>
      </c>
      <c r="G17" s="6">
        <f>$E$5</f>
        <v>15</v>
      </c>
      <c r="H17" s="5">
        <v>10</v>
      </c>
      <c r="I17" s="5"/>
      <c r="K17" s="1"/>
    </row>
    <row r="18" spans="2:11" x14ac:dyDescent="0.35">
      <c r="B18" t="s">
        <v>36</v>
      </c>
      <c r="G18" s="6">
        <f>$E$5+$F$5</f>
        <v>20</v>
      </c>
      <c r="H18" s="5">
        <v>20</v>
      </c>
      <c r="I18" s="5"/>
      <c r="K18" s="1"/>
    </row>
    <row r="19" spans="2:11" x14ac:dyDescent="0.35">
      <c r="B19" t="s">
        <v>35</v>
      </c>
      <c r="G19" s="6">
        <f>F5</f>
        <v>5</v>
      </c>
      <c r="H19" s="5">
        <f>1/3*$E$5</f>
        <v>5</v>
      </c>
      <c r="I19" s="5"/>
      <c r="K19" s="1"/>
    </row>
    <row r="20" spans="2:11" x14ac:dyDescent="0.35">
      <c r="J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Exo diapo 107</vt:lpstr>
      <vt:lpstr>Td PL 01</vt:lpstr>
      <vt:lpstr>Td PL 02</vt:lpstr>
      <vt:lpstr>Entrainement Sportif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2025-02-17T08:13:13Z</dcterms:created>
  <dcterms:modified xsi:type="dcterms:W3CDTF">2025-02-21T09:44:55Z</dcterms:modified>
</cp:coreProperties>
</file>