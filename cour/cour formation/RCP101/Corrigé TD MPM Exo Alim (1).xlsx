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SUPPORT\RCP101\Exercices\"/>
    </mc:Choice>
  </mc:AlternateContent>
  <bookViews>
    <workbookView xWindow="0" yWindow="0" windowWidth="17256" windowHeight="5928" tabRatio="609" activeTab="1"/>
  </bookViews>
  <sheets>
    <sheet name="Enoncé" sheetId="1" r:id="rId1"/>
    <sheet name="Corrigé" sheetId="2" r:id="rId2"/>
  </sheets>
  <definedNames>
    <definedName name="Tb_duree">Enoncé!$A$3:$C$17</definedName>
    <definedName name="_xlnm.Print_Area" localSheetId="1">Corrigé!$B$1:$BH$39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4" i="2" l="1"/>
  <c r="BH5" i="2"/>
  <c r="BH6" i="2"/>
  <c r="BH7" i="2"/>
  <c r="BH8" i="2"/>
  <c r="BH9" i="2"/>
  <c r="D9" i="2"/>
  <c r="H9" i="2"/>
  <c r="L9" i="2"/>
  <c r="P9" i="2"/>
  <c r="T9" i="2"/>
  <c r="X9" i="2"/>
  <c r="AB9" i="2"/>
  <c r="AF9" i="2"/>
  <c r="AJ9" i="2"/>
  <c r="AN9" i="2"/>
  <c r="AR9" i="2"/>
  <c r="AV9" i="2"/>
  <c r="AZ9" i="2"/>
  <c r="BD9" i="2"/>
  <c r="AE2" i="2"/>
  <c r="AI2" i="2"/>
  <c r="AM2" i="2"/>
  <c r="AQ2" i="2"/>
  <c r="AU2" i="2"/>
  <c r="AY2" i="2"/>
  <c r="BC2" i="2"/>
  <c r="AF4" i="2"/>
  <c r="AJ4" i="2"/>
  <c r="AN4" i="2"/>
  <c r="AR4" i="2"/>
  <c r="AV4" i="2"/>
  <c r="AZ4" i="2"/>
  <c r="BD4" i="2"/>
  <c r="AF5" i="2"/>
  <c r="AJ5" i="2"/>
  <c r="AN5" i="2"/>
  <c r="AR5" i="2"/>
  <c r="AV5" i="2"/>
  <c r="AZ5" i="2"/>
  <c r="BD5" i="2"/>
  <c r="AF6" i="2"/>
  <c r="AJ6" i="2"/>
  <c r="AN6" i="2"/>
  <c r="AR6" i="2"/>
  <c r="AV6" i="2"/>
  <c r="AZ6" i="2"/>
  <c r="BD6" i="2"/>
  <c r="AF7" i="2"/>
  <c r="AJ7" i="2"/>
  <c r="AN7" i="2"/>
  <c r="AR7" i="2"/>
  <c r="AV7" i="2"/>
  <c r="AZ7" i="2"/>
  <c r="BD7" i="2"/>
  <c r="AF8" i="2"/>
  <c r="AJ8" i="2"/>
  <c r="AN8" i="2"/>
  <c r="AR8" i="2"/>
  <c r="AV8" i="2"/>
  <c r="AZ8" i="2"/>
  <c r="BD8" i="2"/>
  <c r="S2" i="2"/>
  <c r="W2" i="2"/>
  <c r="AA2" i="2"/>
  <c r="T4" i="2"/>
  <c r="X4" i="2"/>
  <c r="AB4" i="2"/>
  <c r="T5" i="2"/>
  <c r="X5" i="2"/>
  <c r="AB5" i="2"/>
  <c r="T6" i="2"/>
  <c r="X6" i="2"/>
  <c r="AB6" i="2"/>
  <c r="T7" i="2"/>
  <c r="X7" i="2"/>
  <c r="AB7" i="2"/>
  <c r="T8" i="2"/>
  <c r="X8" i="2"/>
  <c r="AB8" i="2"/>
  <c r="G2" i="2"/>
  <c r="K2" i="2"/>
  <c r="O2" i="2"/>
  <c r="H4" i="2"/>
  <c r="L4" i="2"/>
  <c r="P4" i="2"/>
  <c r="H5" i="2"/>
  <c r="L5" i="2"/>
  <c r="P5" i="2"/>
  <c r="H6" i="2"/>
  <c r="L6" i="2"/>
  <c r="P6" i="2"/>
  <c r="H7" i="2"/>
  <c r="L7" i="2"/>
  <c r="P7" i="2"/>
  <c r="H8" i="2"/>
  <c r="L8" i="2"/>
  <c r="P8" i="2"/>
  <c r="D5" i="2"/>
  <c r="D6" i="2"/>
  <c r="D7" i="2"/>
  <c r="D8" i="2"/>
  <c r="D4" i="2"/>
  <c r="C2" i="2"/>
</calcChain>
</file>

<file path=xl/sharedStrings.xml><?xml version="1.0" encoding="utf-8"?>
<sst xmlns="http://schemas.openxmlformats.org/spreadsheetml/2006/main" count="83" uniqueCount="40">
  <si>
    <t>Liste des tâches</t>
  </si>
  <si>
    <t>Durée en jours</t>
  </si>
  <si>
    <t>Tâches qui doivent être exécutées avant</t>
  </si>
  <si>
    <r>
      <t>A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Recherche d'un local</t>
    </r>
  </si>
  <si>
    <r>
      <t>B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Recherche d'un franchisé</t>
    </r>
  </si>
  <si>
    <r>
      <t>C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Constitution du dossier du franchisé</t>
    </r>
  </si>
  <si>
    <t>A, B</t>
  </si>
  <si>
    <r>
      <t>D -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Constitution du dossier pour la chambre de commerce</t>
    </r>
  </si>
  <si>
    <r>
      <t>E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Formation du franchisé</t>
    </r>
  </si>
  <si>
    <t>B</t>
  </si>
  <si>
    <r>
      <t>F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Aménagement, plâtrerie, peinture du magasin</t>
    </r>
  </si>
  <si>
    <t>A</t>
  </si>
  <si>
    <r>
      <t>G -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Réfection façade, enseigne</t>
    </r>
  </si>
  <si>
    <r>
      <t>H -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Equipement chambre froide</t>
    </r>
  </si>
  <si>
    <t>A, F</t>
  </si>
  <si>
    <r>
      <t>I -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Equipement rayonnage</t>
    </r>
  </si>
  <si>
    <r>
      <t>J -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  <scheme val="minor"/>
      </rPr>
      <t>Implantation du magasin</t>
    </r>
  </si>
  <si>
    <t>A, B, E, F, G, H, I</t>
  </si>
  <si>
    <r>
      <t>K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Tirage des feuillets publicitaires</t>
    </r>
  </si>
  <si>
    <t>A, B, D</t>
  </si>
  <si>
    <r>
      <t>L -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  <scheme val="minor"/>
      </rPr>
      <t>Distribution des feuillets publicitaires</t>
    </r>
  </si>
  <si>
    <t>A, B, D, K</t>
  </si>
  <si>
    <r>
      <t>M -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Envoi des invitations pour l'inauguration</t>
    </r>
  </si>
  <si>
    <r>
      <t>N -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Inauguration du magasin</t>
    </r>
  </si>
  <si>
    <t>toutes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</si>
  <si>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</si>
  <si>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</si>
  <si>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</si>
  <si>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</si>
  <si>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</si>
  <si>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</si>
  <si>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</si>
  <si>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</si>
  <si>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</si>
  <si>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</si>
  <si>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</si>
  <si>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</si>
  <si>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b</t>
  </si>
  <si>
    <t>Marge Libre / Totale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</si>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</sst>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4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73068</xdr:colOff>
      <xdr:row>16</xdr:row>
      <xdr:rowOff>208766</xdr:rowOff>
    </xdr:from>
    <xdr:to>
      <xdr:col>13</xdr:col>
      <xdr:colOff>223170</xdr:colOff>
      <xdr:row>19</xdr:row>
      <xdr:rowOff>192935</xdr:rowOff>
    </xdr:to>
    <xdr:grpSp>
      <xdr:nvGrpSpPr>
        <xdr:cNvPr id="9" name="Groupe 8"/>
        <xdr:cNvGrpSpPr/>
      </xdr:nvGrpSpPr>
      <xdr:grpSpPr>
        <a:xfrm>
          <a:off x="2359068" y="3632686"/>
          <a:ext cx="810502" cy="685209"/>
          <a:chOff x="-600" y="298255"/>
          <a:chExt cx="770815" cy="398948"/>
        </a:xfrm>
      </xdr:grpSpPr>
      <xdr:sp macro="" textlink="">
        <xdr:nvSpPr>
          <xdr:cNvPr id="10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1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2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A(50)</a:t>
            </a:r>
          </a:p>
        </xdr:txBody>
      </xdr:sp>
      <xdr:sp macro="" textlink="">
        <xdr:nvSpPr>
          <xdr:cNvPr id="13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0 </a:t>
            </a:r>
          </a:p>
        </xdr:txBody>
      </xdr:sp>
      <xdr:sp macro="" textlink="">
        <xdr:nvSpPr>
          <xdr:cNvPr id="14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</xdr:grpSp>
    <xdr:clientData/>
  </xdr:twoCellAnchor>
  <xdr:twoCellAnchor>
    <xdr:from>
      <xdr:col>9</xdr:col>
      <xdr:colOff>187890</xdr:colOff>
      <xdr:row>30</xdr:row>
      <xdr:rowOff>31313</xdr:rowOff>
    </xdr:from>
    <xdr:to>
      <xdr:col>13</xdr:col>
      <xdr:colOff>66595</xdr:colOff>
      <xdr:row>33</xdr:row>
      <xdr:rowOff>15482</xdr:rowOff>
    </xdr:to>
    <xdr:grpSp>
      <xdr:nvGrpSpPr>
        <xdr:cNvPr id="63" name="Groupe 62"/>
        <xdr:cNvGrpSpPr/>
      </xdr:nvGrpSpPr>
      <xdr:grpSpPr>
        <a:xfrm>
          <a:off x="2199570" y="6726753"/>
          <a:ext cx="813425" cy="685209"/>
          <a:chOff x="-600" y="298255"/>
          <a:chExt cx="770815" cy="398948"/>
        </a:xfrm>
      </xdr:grpSpPr>
      <xdr:sp macro="" textlink="">
        <xdr:nvSpPr>
          <xdr:cNvPr id="64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65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 3</a:t>
            </a:r>
          </a:p>
        </xdr:txBody>
      </xdr:sp>
      <xdr:sp macro="" textlink="">
        <xdr:nvSpPr>
          <xdr:cNvPr id="66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B(45)</a:t>
            </a:r>
          </a:p>
        </xdr:txBody>
      </xdr:sp>
      <xdr:sp macro="" textlink="">
        <xdr:nvSpPr>
          <xdr:cNvPr id="67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68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3</a:t>
            </a:r>
          </a:p>
        </xdr:txBody>
      </xdr:sp>
    </xdr:grpSp>
    <xdr:clientData/>
  </xdr:twoCellAnchor>
  <xdr:twoCellAnchor>
    <xdr:from>
      <xdr:col>18</xdr:col>
      <xdr:colOff>10437</xdr:colOff>
      <xdr:row>24</xdr:row>
      <xdr:rowOff>73069</xdr:rowOff>
    </xdr:from>
    <xdr:to>
      <xdr:col>21</xdr:col>
      <xdr:colOff>160540</xdr:colOff>
      <xdr:row>27</xdr:row>
      <xdr:rowOff>57238</xdr:rowOff>
    </xdr:to>
    <xdr:grpSp>
      <xdr:nvGrpSpPr>
        <xdr:cNvPr id="69" name="Groupe 68"/>
        <xdr:cNvGrpSpPr/>
      </xdr:nvGrpSpPr>
      <xdr:grpSpPr>
        <a:xfrm>
          <a:off x="4165877" y="5366429"/>
          <a:ext cx="810503" cy="685209"/>
          <a:chOff x="-600" y="298255"/>
          <a:chExt cx="770815" cy="398948"/>
        </a:xfrm>
      </xdr:grpSpPr>
      <xdr:sp macro="" textlink="">
        <xdr:nvSpPr>
          <xdr:cNvPr id="70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50</a:t>
            </a:r>
          </a:p>
        </xdr:txBody>
      </xdr:sp>
      <xdr:sp macro="" textlink="">
        <xdr:nvSpPr>
          <xdr:cNvPr id="71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69</a:t>
            </a:r>
          </a:p>
        </xdr:txBody>
      </xdr:sp>
      <xdr:sp macro="" textlink="">
        <xdr:nvSpPr>
          <xdr:cNvPr id="72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C(15)</a:t>
            </a:r>
          </a:p>
        </xdr:txBody>
      </xdr:sp>
      <xdr:sp macro="" textlink="">
        <xdr:nvSpPr>
          <xdr:cNvPr id="73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19</a:t>
            </a:r>
          </a:p>
        </xdr:txBody>
      </xdr:sp>
      <xdr:sp macro="" textlink="">
        <xdr:nvSpPr>
          <xdr:cNvPr id="74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19</a:t>
            </a:r>
          </a:p>
        </xdr:txBody>
      </xdr:sp>
    </xdr:grpSp>
    <xdr:clientData/>
  </xdr:twoCellAnchor>
  <xdr:twoCellAnchor>
    <xdr:from>
      <xdr:col>18</xdr:col>
      <xdr:colOff>20876</xdr:colOff>
      <xdr:row>29</xdr:row>
      <xdr:rowOff>167013</xdr:rowOff>
    </xdr:from>
    <xdr:to>
      <xdr:col>21</xdr:col>
      <xdr:colOff>170979</xdr:colOff>
      <xdr:row>32</xdr:row>
      <xdr:rowOff>151182</xdr:rowOff>
    </xdr:to>
    <xdr:grpSp>
      <xdr:nvGrpSpPr>
        <xdr:cNvPr id="75" name="Groupe 74"/>
        <xdr:cNvGrpSpPr/>
      </xdr:nvGrpSpPr>
      <xdr:grpSpPr>
        <a:xfrm>
          <a:off x="4176316" y="6628773"/>
          <a:ext cx="810503" cy="685209"/>
          <a:chOff x="-600" y="298255"/>
          <a:chExt cx="770815" cy="398948"/>
        </a:xfrm>
      </xdr:grpSpPr>
      <xdr:sp macro="" textlink="">
        <xdr:nvSpPr>
          <xdr:cNvPr id="76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50</a:t>
            </a:r>
          </a:p>
        </xdr:txBody>
      </xdr:sp>
      <xdr:sp macro="" textlink="">
        <xdr:nvSpPr>
          <xdr:cNvPr id="77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66</a:t>
            </a:r>
          </a:p>
        </xdr:txBody>
      </xdr:sp>
      <xdr:sp macro="" textlink="">
        <xdr:nvSpPr>
          <xdr:cNvPr id="78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D(10)</a:t>
            </a:r>
          </a:p>
        </xdr:txBody>
      </xdr:sp>
      <xdr:sp macro="" textlink="">
        <xdr:nvSpPr>
          <xdr:cNvPr id="79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80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16</a:t>
            </a:r>
          </a:p>
        </xdr:txBody>
      </xdr:sp>
    </xdr:grpSp>
    <xdr:clientData/>
  </xdr:twoCellAnchor>
  <xdr:twoCellAnchor>
    <xdr:from>
      <xdr:col>18</xdr:col>
      <xdr:colOff>41752</xdr:colOff>
      <xdr:row>34</xdr:row>
      <xdr:rowOff>156576</xdr:rowOff>
    </xdr:from>
    <xdr:to>
      <xdr:col>21</xdr:col>
      <xdr:colOff>191855</xdr:colOff>
      <xdr:row>37</xdr:row>
      <xdr:rowOff>140745</xdr:rowOff>
    </xdr:to>
    <xdr:grpSp>
      <xdr:nvGrpSpPr>
        <xdr:cNvPr id="81" name="Groupe 80"/>
        <xdr:cNvGrpSpPr/>
      </xdr:nvGrpSpPr>
      <xdr:grpSpPr>
        <a:xfrm>
          <a:off x="4197192" y="7786736"/>
          <a:ext cx="810503" cy="685209"/>
          <a:chOff x="-600" y="298255"/>
          <a:chExt cx="770815" cy="398948"/>
        </a:xfrm>
      </xdr:grpSpPr>
      <xdr:sp macro="" textlink="">
        <xdr:nvSpPr>
          <xdr:cNvPr id="82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45</a:t>
            </a:r>
          </a:p>
        </xdr:txBody>
      </xdr:sp>
      <xdr:sp macro="" textlink="">
        <xdr:nvSpPr>
          <xdr:cNvPr id="83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48</a:t>
            </a:r>
          </a:p>
        </xdr:txBody>
      </xdr:sp>
      <xdr:sp macro="" textlink="">
        <xdr:nvSpPr>
          <xdr:cNvPr id="84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E(30)</a:t>
            </a:r>
          </a:p>
        </xdr:txBody>
      </xdr:sp>
      <xdr:sp macro="" textlink="">
        <xdr:nvSpPr>
          <xdr:cNvPr id="85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3</a:t>
            </a:r>
          </a:p>
        </xdr:txBody>
      </xdr:sp>
      <xdr:sp macro="" textlink="">
        <xdr:nvSpPr>
          <xdr:cNvPr id="86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3</a:t>
            </a:r>
          </a:p>
        </xdr:txBody>
      </xdr:sp>
    </xdr:grpSp>
    <xdr:clientData/>
  </xdr:twoCellAnchor>
  <xdr:twoCellAnchor>
    <xdr:from>
      <xdr:col>18</xdr:col>
      <xdr:colOff>41753</xdr:colOff>
      <xdr:row>13</xdr:row>
      <xdr:rowOff>73070</xdr:rowOff>
    </xdr:from>
    <xdr:to>
      <xdr:col>21</xdr:col>
      <xdr:colOff>191856</xdr:colOff>
      <xdr:row>16</xdr:row>
      <xdr:rowOff>57238</xdr:rowOff>
    </xdr:to>
    <xdr:grpSp>
      <xdr:nvGrpSpPr>
        <xdr:cNvPr id="87" name="Groupe 86"/>
        <xdr:cNvGrpSpPr/>
      </xdr:nvGrpSpPr>
      <xdr:grpSpPr>
        <a:xfrm>
          <a:off x="4197193" y="2795950"/>
          <a:ext cx="810503" cy="685208"/>
          <a:chOff x="-600" y="298255"/>
          <a:chExt cx="770815" cy="398948"/>
        </a:xfrm>
      </xdr:grpSpPr>
      <xdr:sp macro="" textlink="">
        <xdr:nvSpPr>
          <xdr:cNvPr id="88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50</a:t>
            </a:r>
          </a:p>
        </xdr:txBody>
      </xdr:sp>
      <xdr:sp macro="" textlink="">
        <xdr:nvSpPr>
          <xdr:cNvPr id="89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50</a:t>
            </a:r>
          </a:p>
        </xdr:txBody>
      </xdr:sp>
      <xdr:sp macro="" textlink="">
        <xdr:nvSpPr>
          <xdr:cNvPr id="90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F(20)</a:t>
            </a:r>
          </a:p>
        </xdr:txBody>
      </xdr:sp>
      <xdr:sp macro="" textlink="">
        <xdr:nvSpPr>
          <xdr:cNvPr id="91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92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</xdr:grpSp>
    <xdr:clientData/>
  </xdr:twoCellAnchor>
  <xdr:twoCellAnchor>
    <xdr:from>
      <xdr:col>18</xdr:col>
      <xdr:colOff>20877</xdr:colOff>
      <xdr:row>18</xdr:row>
      <xdr:rowOff>219205</xdr:rowOff>
    </xdr:from>
    <xdr:to>
      <xdr:col>21</xdr:col>
      <xdr:colOff>170980</xdr:colOff>
      <xdr:row>21</xdr:row>
      <xdr:rowOff>203374</xdr:rowOff>
    </xdr:to>
    <xdr:grpSp>
      <xdr:nvGrpSpPr>
        <xdr:cNvPr id="93" name="Groupe 92"/>
        <xdr:cNvGrpSpPr/>
      </xdr:nvGrpSpPr>
      <xdr:grpSpPr>
        <a:xfrm>
          <a:off x="4176317" y="4110485"/>
          <a:ext cx="810503" cy="685209"/>
          <a:chOff x="-600" y="298255"/>
          <a:chExt cx="770815" cy="398948"/>
        </a:xfrm>
      </xdr:grpSpPr>
      <xdr:sp macro="" textlink="">
        <xdr:nvSpPr>
          <xdr:cNvPr id="94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50</a:t>
            </a:r>
          </a:p>
        </xdr:txBody>
      </xdr:sp>
      <xdr:sp macro="" textlink="">
        <xdr:nvSpPr>
          <xdr:cNvPr id="95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70</a:t>
            </a:r>
          </a:p>
        </xdr:txBody>
      </xdr:sp>
      <xdr:sp macro="" textlink="">
        <xdr:nvSpPr>
          <xdr:cNvPr id="96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G(8)</a:t>
            </a:r>
          </a:p>
        </xdr:txBody>
      </xdr:sp>
      <xdr:sp macro="" textlink="">
        <xdr:nvSpPr>
          <xdr:cNvPr id="97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20</a:t>
            </a:r>
          </a:p>
        </xdr:txBody>
      </xdr:sp>
      <xdr:sp macro="" textlink="">
        <xdr:nvSpPr>
          <xdr:cNvPr id="98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20</a:t>
            </a:r>
          </a:p>
        </xdr:txBody>
      </xdr:sp>
    </xdr:grpSp>
    <xdr:clientData/>
  </xdr:twoCellAnchor>
  <xdr:twoCellAnchor>
    <xdr:from>
      <xdr:col>27</xdr:col>
      <xdr:colOff>52193</xdr:colOff>
      <xdr:row>13</xdr:row>
      <xdr:rowOff>73068</xdr:rowOff>
    </xdr:from>
    <xdr:to>
      <xdr:col>30</xdr:col>
      <xdr:colOff>202295</xdr:colOff>
      <xdr:row>16</xdr:row>
      <xdr:rowOff>57236</xdr:rowOff>
    </xdr:to>
    <xdr:grpSp>
      <xdr:nvGrpSpPr>
        <xdr:cNvPr id="99" name="Groupe 98"/>
        <xdr:cNvGrpSpPr/>
      </xdr:nvGrpSpPr>
      <xdr:grpSpPr>
        <a:xfrm>
          <a:off x="6351393" y="2795948"/>
          <a:ext cx="810502" cy="685208"/>
          <a:chOff x="-600" y="298255"/>
          <a:chExt cx="770815" cy="398948"/>
        </a:xfrm>
      </xdr:grpSpPr>
      <xdr:sp macro="" textlink="">
        <xdr:nvSpPr>
          <xdr:cNvPr id="100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70</a:t>
            </a:r>
          </a:p>
        </xdr:txBody>
      </xdr:sp>
      <xdr:sp macro="" textlink="">
        <xdr:nvSpPr>
          <xdr:cNvPr id="101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70</a:t>
            </a:r>
          </a:p>
        </xdr:txBody>
      </xdr:sp>
      <xdr:sp macro="" textlink="">
        <xdr:nvSpPr>
          <xdr:cNvPr id="102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H(8)</a:t>
            </a:r>
          </a:p>
        </xdr:txBody>
      </xdr:sp>
      <xdr:sp macro="" textlink="">
        <xdr:nvSpPr>
          <xdr:cNvPr id="103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04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</xdr:grpSp>
    <xdr:clientData/>
  </xdr:twoCellAnchor>
  <xdr:twoCellAnchor>
    <xdr:from>
      <xdr:col>27</xdr:col>
      <xdr:colOff>62631</xdr:colOff>
      <xdr:row>17</xdr:row>
      <xdr:rowOff>31313</xdr:rowOff>
    </xdr:from>
    <xdr:to>
      <xdr:col>30</xdr:col>
      <xdr:colOff>212733</xdr:colOff>
      <xdr:row>20</xdr:row>
      <xdr:rowOff>15482</xdr:rowOff>
    </xdr:to>
    <xdr:grpSp>
      <xdr:nvGrpSpPr>
        <xdr:cNvPr id="105" name="Groupe 104"/>
        <xdr:cNvGrpSpPr/>
      </xdr:nvGrpSpPr>
      <xdr:grpSpPr>
        <a:xfrm>
          <a:off x="6361831" y="3688913"/>
          <a:ext cx="810502" cy="685209"/>
          <a:chOff x="-600" y="298255"/>
          <a:chExt cx="770815" cy="398948"/>
        </a:xfrm>
      </xdr:grpSpPr>
      <xdr:sp macro="" textlink="">
        <xdr:nvSpPr>
          <xdr:cNvPr id="106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70</a:t>
            </a:r>
          </a:p>
        </xdr:txBody>
      </xdr:sp>
      <xdr:sp macro="" textlink="">
        <xdr:nvSpPr>
          <xdr:cNvPr id="107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73</a:t>
            </a:r>
          </a:p>
        </xdr:txBody>
      </xdr:sp>
      <xdr:sp macro="" textlink="">
        <xdr:nvSpPr>
          <xdr:cNvPr id="108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I(5)</a:t>
            </a:r>
          </a:p>
        </xdr:txBody>
      </xdr:sp>
      <xdr:sp macro="" textlink="">
        <xdr:nvSpPr>
          <xdr:cNvPr id="109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3</a:t>
            </a:r>
          </a:p>
        </xdr:txBody>
      </xdr:sp>
      <xdr:sp macro="" textlink="">
        <xdr:nvSpPr>
          <xdr:cNvPr id="110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3</a:t>
            </a:r>
          </a:p>
        </xdr:txBody>
      </xdr:sp>
    </xdr:grpSp>
    <xdr:clientData/>
  </xdr:twoCellAnchor>
  <xdr:twoCellAnchor>
    <xdr:from>
      <xdr:col>35</xdr:col>
      <xdr:colOff>177451</xdr:colOff>
      <xdr:row>20</xdr:row>
      <xdr:rowOff>41752</xdr:rowOff>
    </xdr:from>
    <xdr:to>
      <xdr:col>39</xdr:col>
      <xdr:colOff>56157</xdr:colOff>
      <xdr:row>23</xdr:row>
      <xdr:rowOff>5044</xdr:rowOff>
    </xdr:to>
    <xdr:grpSp>
      <xdr:nvGrpSpPr>
        <xdr:cNvPr id="111" name="Groupe 110"/>
        <xdr:cNvGrpSpPr/>
      </xdr:nvGrpSpPr>
      <xdr:grpSpPr>
        <a:xfrm>
          <a:off x="8346091" y="4400392"/>
          <a:ext cx="813426" cy="664332"/>
          <a:chOff x="-600" y="310628"/>
          <a:chExt cx="770815" cy="386575"/>
        </a:xfrm>
      </xdr:grpSpPr>
      <xdr:sp macro="" textlink="">
        <xdr:nvSpPr>
          <xdr:cNvPr id="112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78</a:t>
            </a:r>
          </a:p>
        </xdr:txBody>
      </xdr:sp>
      <xdr:sp macro="" textlink="">
        <xdr:nvSpPr>
          <xdr:cNvPr id="113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78</a:t>
            </a:r>
          </a:p>
        </xdr:txBody>
      </xdr:sp>
      <xdr:sp macro="" textlink="">
        <xdr:nvSpPr>
          <xdr:cNvPr id="114" name="Zone de texte 2"/>
          <xdr:cNvSpPr txBox="1">
            <a:spLocks noChangeArrowheads="1"/>
          </xdr:cNvSpPr>
        </xdr:nvSpPr>
        <xdr:spPr bwMode="auto">
          <a:xfrm>
            <a:off x="595" y="310628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J(6)</a:t>
            </a:r>
          </a:p>
        </xdr:txBody>
      </xdr:sp>
      <xdr:sp macro="" textlink="">
        <xdr:nvSpPr>
          <xdr:cNvPr id="115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16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</xdr:grpSp>
    <xdr:clientData/>
  </xdr:twoCellAnchor>
  <xdr:twoCellAnchor>
    <xdr:from>
      <xdr:col>27</xdr:col>
      <xdr:colOff>93945</xdr:colOff>
      <xdr:row>31</xdr:row>
      <xdr:rowOff>10438</xdr:rowOff>
    </xdr:from>
    <xdr:to>
      <xdr:col>30</xdr:col>
      <xdr:colOff>244047</xdr:colOff>
      <xdr:row>33</xdr:row>
      <xdr:rowOff>224250</xdr:rowOff>
    </xdr:to>
    <xdr:grpSp>
      <xdr:nvGrpSpPr>
        <xdr:cNvPr id="117" name="Groupe 116"/>
        <xdr:cNvGrpSpPr/>
      </xdr:nvGrpSpPr>
      <xdr:grpSpPr>
        <a:xfrm>
          <a:off x="6393145" y="6939558"/>
          <a:ext cx="810502" cy="681172"/>
          <a:chOff x="-600" y="298255"/>
          <a:chExt cx="770815" cy="398948"/>
        </a:xfrm>
      </xdr:grpSpPr>
      <xdr:sp macro="" textlink="">
        <xdr:nvSpPr>
          <xdr:cNvPr id="118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60</a:t>
            </a:r>
          </a:p>
        </xdr:txBody>
      </xdr:sp>
      <xdr:sp macro="" textlink="">
        <xdr:nvSpPr>
          <xdr:cNvPr id="119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76</a:t>
            </a:r>
          </a:p>
        </xdr:txBody>
      </xdr:sp>
      <xdr:sp macro="" textlink="">
        <xdr:nvSpPr>
          <xdr:cNvPr id="120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K(6)</a:t>
            </a:r>
          </a:p>
        </xdr:txBody>
      </xdr:sp>
      <xdr:sp macro="" textlink="">
        <xdr:nvSpPr>
          <xdr:cNvPr id="121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22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16</a:t>
            </a:r>
          </a:p>
        </xdr:txBody>
      </xdr:sp>
    </xdr:grpSp>
    <xdr:clientData/>
  </xdr:twoCellAnchor>
  <xdr:twoCellAnchor>
    <xdr:from>
      <xdr:col>35</xdr:col>
      <xdr:colOff>135699</xdr:colOff>
      <xdr:row>26</xdr:row>
      <xdr:rowOff>73068</xdr:rowOff>
    </xdr:from>
    <xdr:to>
      <xdr:col>39</xdr:col>
      <xdr:colOff>14405</xdr:colOff>
      <xdr:row>29</xdr:row>
      <xdr:rowOff>57236</xdr:rowOff>
    </xdr:to>
    <xdr:grpSp>
      <xdr:nvGrpSpPr>
        <xdr:cNvPr id="123" name="Groupe 122"/>
        <xdr:cNvGrpSpPr/>
      </xdr:nvGrpSpPr>
      <xdr:grpSpPr>
        <a:xfrm>
          <a:off x="8304339" y="5833788"/>
          <a:ext cx="813426" cy="685208"/>
          <a:chOff x="-600" y="298255"/>
          <a:chExt cx="770815" cy="398948"/>
        </a:xfrm>
      </xdr:grpSpPr>
      <xdr:sp macro="" textlink="">
        <xdr:nvSpPr>
          <xdr:cNvPr id="124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66</a:t>
            </a:r>
          </a:p>
        </xdr:txBody>
      </xdr:sp>
      <xdr:sp macro="" textlink="">
        <xdr:nvSpPr>
          <xdr:cNvPr id="125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82</a:t>
            </a:r>
          </a:p>
        </xdr:txBody>
      </xdr:sp>
      <xdr:sp macro="" textlink="">
        <xdr:nvSpPr>
          <xdr:cNvPr id="126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L(2)</a:t>
            </a:r>
          </a:p>
        </xdr:txBody>
      </xdr:sp>
      <xdr:sp macro="" textlink="">
        <xdr:nvSpPr>
          <xdr:cNvPr id="127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16</a:t>
            </a:r>
          </a:p>
        </xdr:txBody>
      </xdr:sp>
      <xdr:sp macro="" textlink="">
        <xdr:nvSpPr>
          <xdr:cNvPr id="128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16</a:t>
            </a:r>
          </a:p>
        </xdr:txBody>
      </xdr:sp>
    </xdr:grpSp>
    <xdr:clientData/>
  </xdr:twoCellAnchor>
  <xdr:twoCellAnchor>
    <xdr:from>
      <xdr:col>27</xdr:col>
      <xdr:colOff>83507</xdr:colOff>
      <xdr:row>35</xdr:row>
      <xdr:rowOff>62630</xdr:rowOff>
    </xdr:from>
    <xdr:to>
      <xdr:col>30</xdr:col>
      <xdr:colOff>233609</xdr:colOff>
      <xdr:row>38</xdr:row>
      <xdr:rowOff>46799</xdr:rowOff>
    </xdr:to>
    <xdr:grpSp>
      <xdr:nvGrpSpPr>
        <xdr:cNvPr id="129" name="Groupe 128"/>
        <xdr:cNvGrpSpPr/>
      </xdr:nvGrpSpPr>
      <xdr:grpSpPr>
        <a:xfrm>
          <a:off x="6382707" y="7926470"/>
          <a:ext cx="810502" cy="685209"/>
          <a:chOff x="-600" y="298255"/>
          <a:chExt cx="770815" cy="398948"/>
        </a:xfrm>
      </xdr:grpSpPr>
      <xdr:sp macro="" textlink="">
        <xdr:nvSpPr>
          <xdr:cNvPr id="130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60</a:t>
            </a:r>
          </a:p>
        </xdr:txBody>
      </xdr:sp>
      <xdr:sp macro="" textlink="">
        <xdr:nvSpPr>
          <xdr:cNvPr id="131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78</a:t>
            </a:r>
          </a:p>
        </xdr:txBody>
      </xdr:sp>
      <xdr:sp macro="" textlink="">
        <xdr:nvSpPr>
          <xdr:cNvPr id="132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M(6)</a:t>
            </a:r>
          </a:p>
        </xdr:txBody>
      </xdr:sp>
      <xdr:sp macro="" textlink="">
        <xdr:nvSpPr>
          <xdr:cNvPr id="133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18</a:t>
            </a:r>
          </a:p>
        </xdr:txBody>
      </xdr:sp>
      <xdr:sp macro="" textlink="">
        <xdr:nvSpPr>
          <xdr:cNvPr id="134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18</a:t>
            </a:r>
          </a:p>
        </xdr:txBody>
      </xdr:sp>
    </xdr:grpSp>
    <xdr:clientData/>
  </xdr:twoCellAnchor>
  <xdr:twoCellAnchor>
    <xdr:from>
      <xdr:col>42</xdr:col>
      <xdr:colOff>240082</xdr:colOff>
      <xdr:row>23</xdr:row>
      <xdr:rowOff>52191</xdr:rowOff>
    </xdr:from>
    <xdr:to>
      <xdr:col>46</xdr:col>
      <xdr:colOff>118787</xdr:colOff>
      <xdr:row>26</xdr:row>
      <xdr:rowOff>36360</xdr:rowOff>
    </xdr:to>
    <xdr:grpSp>
      <xdr:nvGrpSpPr>
        <xdr:cNvPr id="135" name="Groupe 134"/>
        <xdr:cNvGrpSpPr/>
      </xdr:nvGrpSpPr>
      <xdr:grpSpPr>
        <a:xfrm>
          <a:off x="10003842" y="5111871"/>
          <a:ext cx="813425" cy="685209"/>
          <a:chOff x="-600" y="298255"/>
          <a:chExt cx="770815" cy="398948"/>
        </a:xfrm>
      </xdr:grpSpPr>
      <xdr:sp macro="" textlink="">
        <xdr:nvSpPr>
          <xdr:cNvPr id="136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84</a:t>
            </a:r>
          </a:p>
        </xdr:txBody>
      </xdr:sp>
      <xdr:sp macro="" textlink="">
        <xdr:nvSpPr>
          <xdr:cNvPr id="137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84</a:t>
            </a:r>
          </a:p>
        </xdr:txBody>
      </xdr:sp>
      <xdr:sp macro="" textlink="">
        <xdr:nvSpPr>
          <xdr:cNvPr id="138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1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N(1)</a:t>
            </a:r>
          </a:p>
        </xdr:txBody>
      </xdr:sp>
      <xdr:sp macro="" textlink="">
        <xdr:nvSpPr>
          <xdr:cNvPr id="139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40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</xdr:grpSp>
    <xdr:clientData/>
  </xdr:twoCellAnchor>
  <xdr:twoCellAnchor>
    <xdr:from>
      <xdr:col>2</xdr:col>
      <xdr:colOff>1</xdr:colOff>
      <xdr:row>20</xdr:row>
      <xdr:rowOff>20876</xdr:rowOff>
    </xdr:from>
    <xdr:to>
      <xdr:col>5</xdr:col>
      <xdr:colOff>150104</xdr:colOff>
      <xdr:row>23</xdr:row>
      <xdr:rowOff>5044</xdr:rowOff>
    </xdr:to>
    <xdr:grpSp>
      <xdr:nvGrpSpPr>
        <xdr:cNvPr id="142" name="Groupe 141"/>
        <xdr:cNvGrpSpPr/>
      </xdr:nvGrpSpPr>
      <xdr:grpSpPr>
        <a:xfrm>
          <a:off x="416561" y="4379516"/>
          <a:ext cx="810503" cy="685208"/>
          <a:chOff x="-600" y="298255"/>
          <a:chExt cx="770815" cy="398948"/>
        </a:xfrm>
      </xdr:grpSpPr>
      <xdr:sp macro="" textlink="">
        <xdr:nvSpPr>
          <xdr:cNvPr id="143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0 </a:t>
            </a:r>
          </a:p>
        </xdr:txBody>
      </xdr:sp>
      <xdr:sp macro="" textlink="">
        <xdr:nvSpPr>
          <xdr:cNvPr id="144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0</a:t>
            </a:r>
          </a:p>
        </xdr:txBody>
      </xdr:sp>
      <xdr:sp macro="" textlink="">
        <xdr:nvSpPr>
          <xdr:cNvPr id="145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0" tIns="0" rIns="0" bIns="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4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r>
              <a:rPr lang="el-GR" sz="1400" b="1"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α</a:t>
            </a:r>
            <a:endParaRPr lang="fr-FR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6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</a:p>
        </xdr:txBody>
      </xdr:sp>
      <xdr:sp macro="" textlink="">
        <xdr:nvSpPr>
          <xdr:cNvPr id="147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</a:p>
        </xdr:txBody>
      </xdr:sp>
    </xdr:grpSp>
    <xdr:clientData/>
  </xdr:twoCellAnchor>
  <xdr:twoCellAnchor>
    <xdr:from>
      <xdr:col>49</xdr:col>
      <xdr:colOff>208767</xdr:colOff>
      <xdr:row>23</xdr:row>
      <xdr:rowOff>62630</xdr:rowOff>
    </xdr:from>
    <xdr:to>
      <xdr:col>53</xdr:col>
      <xdr:colOff>87472</xdr:colOff>
      <xdr:row>26</xdr:row>
      <xdr:rowOff>46799</xdr:rowOff>
    </xdr:to>
    <xdr:grpSp>
      <xdr:nvGrpSpPr>
        <xdr:cNvPr id="154" name="Groupe 153"/>
        <xdr:cNvGrpSpPr/>
      </xdr:nvGrpSpPr>
      <xdr:grpSpPr>
        <a:xfrm>
          <a:off x="11567647" y="5122310"/>
          <a:ext cx="813425" cy="685209"/>
          <a:chOff x="-600" y="298255"/>
          <a:chExt cx="770815" cy="398948"/>
        </a:xfrm>
      </xdr:grpSpPr>
      <xdr:sp macro="" textlink="">
        <xdr:nvSpPr>
          <xdr:cNvPr id="155" name="Zone de texte 2"/>
          <xdr:cNvSpPr txBox="1">
            <a:spLocks noChangeArrowheads="1"/>
          </xdr:cNvSpPr>
        </xdr:nvSpPr>
        <xdr:spPr bwMode="auto">
          <a:xfrm>
            <a:off x="-600" y="433016"/>
            <a:ext cx="381600" cy="13873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r>
              <a:rPr lang="fr-FR" sz="1100" b="1">
                <a:solidFill>
                  <a:sysClr val="windowText" lastClr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85</a:t>
            </a:r>
          </a:p>
        </xdr:txBody>
      </xdr:sp>
      <xdr:sp macro="" textlink="">
        <xdr:nvSpPr>
          <xdr:cNvPr id="156" name="Zone de texte 2"/>
          <xdr:cNvSpPr txBox="1">
            <a:spLocks noChangeArrowheads="1"/>
          </xdr:cNvSpPr>
        </xdr:nvSpPr>
        <xdr:spPr bwMode="auto">
          <a:xfrm>
            <a:off x="388316" y="433145"/>
            <a:ext cx="381600" cy="13847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</a:p>
        </xdr:txBody>
      </xdr:sp>
      <xdr:sp macro="" textlink="">
        <xdr:nvSpPr>
          <xdr:cNvPr id="157" name="Zone de texte 2"/>
          <xdr:cNvSpPr txBox="1">
            <a:spLocks noChangeArrowheads="1"/>
          </xdr:cNvSpPr>
        </xdr:nvSpPr>
        <xdr:spPr bwMode="auto">
          <a:xfrm>
            <a:off x="595" y="298255"/>
            <a:ext cx="769620" cy="134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0" tIns="0" rIns="0" bIns="0" anchor="t" anchorCtr="0"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fr-FR" sz="1400" b="1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  <a:r>
              <a:rPr lang="el-GR" sz="1400" b="1"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β</a:t>
            </a:r>
            <a:endParaRPr lang="fr-FR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Zone de texte 2"/>
          <xdr:cNvSpPr txBox="1">
            <a:spLocks noChangeArrowheads="1"/>
          </xdr:cNvSpPr>
        </xdr:nvSpPr>
        <xdr:spPr bwMode="auto">
          <a:xfrm>
            <a:off x="0" y="571485"/>
            <a:ext cx="381000" cy="1257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</a:p>
        </xdr:txBody>
      </xdr:sp>
      <xdr:sp macro="" textlink="">
        <xdr:nvSpPr>
          <xdr:cNvPr id="159" name="Zone de texte 2"/>
          <xdr:cNvSpPr txBox="1">
            <a:spLocks noChangeArrowheads="1"/>
          </xdr:cNvSpPr>
        </xdr:nvSpPr>
        <xdr:spPr bwMode="auto">
          <a:xfrm>
            <a:off x="387716" y="571313"/>
            <a:ext cx="381600" cy="12589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 </a:t>
            </a:r>
          </a:p>
        </xdr:txBody>
      </xdr:sp>
    </xdr:grpSp>
    <xdr:clientData/>
  </xdr:twoCellAnchor>
  <xdr:twoCellAnchor>
    <xdr:from>
      <xdr:col>13</xdr:col>
      <xdr:colOff>229644</xdr:colOff>
      <xdr:row>14</xdr:row>
      <xdr:rowOff>187826</xdr:rowOff>
    </xdr:from>
    <xdr:to>
      <xdr:col>18</xdr:col>
      <xdr:colOff>41753</xdr:colOff>
      <xdr:row>17</xdr:row>
      <xdr:rowOff>198329</xdr:rowOff>
    </xdr:to>
    <xdr:cxnSp macro="">
      <xdr:nvCxnSpPr>
        <xdr:cNvPr id="161" name="Connecteur droit avec flèche 160"/>
        <xdr:cNvCxnSpPr>
          <a:endCxn id="88" idx="1"/>
        </xdr:cNvCxnSpPr>
      </xdr:nvCxnSpPr>
      <xdr:spPr>
        <a:xfrm flipV="1">
          <a:off x="3152384" y="3361086"/>
          <a:ext cx="1012520" cy="6994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208244</xdr:colOff>
      <xdr:row>19</xdr:row>
      <xdr:rowOff>37511</xdr:rowOff>
    </xdr:from>
    <xdr:to>
      <xdr:col>18</xdr:col>
      <xdr:colOff>20877</xdr:colOff>
      <xdr:row>20</xdr:row>
      <xdr:rowOff>104318</xdr:rowOff>
    </xdr:to>
    <xdr:cxnSp macro="">
      <xdr:nvCxnSpPr>
        <xdr:cNvPr id="163" name="Connecteur droit avec flèche 162"/>
        <xdr:cNvCxnSpPr>
          <a:endCxn id="94" idx="1"/>
        </xdr:cNvCxnSpPr>
      </xdr:nvCxnSpPr>
      <xdr:spPr>
        <a:xfrm>
          <a:off x="3130984" y="4358990"/>
          <a:ext cx="1013044" cy="2964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208244</xdr:colOff>
      <xdr:row>19</xdr:row>
      <xdr:rowOff>89700</xdr:rowOff>
    </xdr:from>
    <xdr:to>
      <xdr:col>18</xdr:col>
      <xdr:colOff>10437</xdr:colOff>
      <xdr:row>25</xdr:row>
      <xdr:rowOff>187826</xdr:rowOff>
    </xdr:to>
    <xdr:cxnSp macro="">
      <xdr:nvCxnSpPr>
        <xdr:cNvPr id="165" name="Connecteur droit avec flèche 164"/>
        <xdr:cNvCxnSpPr>
          <a:endCxn id="70" idx="1"/>
        </xdr:cNvCxnSpPr>
      </xdr:nvCxnSpPr>
      <xdr:spPr>
        <a:xfrm>
          <a:off x="3130984" y="4411179"/>
          <a:ext cx="1002604" cy="14759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47493</xdr:colOff>
      <xdr:row>19</xdr:row>
      <xdr:rowOff>179469</xdr:rowOff>
    </xdr:from>
    <xdr:to>
      <xdr:col>18</xdr:col>
      <xdr:colOff>22128</xdr:colOff>
      <xdr:row>30</xdr:row>
      <xdr:rowOff>51162</xdr:rowOff>
    </xdr:to>
    <xdr:cxnSp macro="">
      <xdr:nvCxnSpPr>
        <xdr:cNvPr id="167" name="Connecteur droit avec flèche 166"/>
        <xdr:cNvCxnSpPr>
          <a:endCxn id="78" idx="1"/>
        </xdr:cNvCxnSpPr>
      </xdr:nvCxnSpPr>
      <xdr:spPr>
        <a:xfrm>
          <a:off x="2970233" y="4500948"/>
          <a:ext cx="1175046" cy="23977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125259</xdr:colOff>
      <xdr:row>24</xdr:row>
      <xdr:rowOff>177386</xdr:rowOff>
    </xdr:from>
    <xdr:to>
      <xdr:col>49</xdr:col>
      <xdr:colOff>208767</xdr:colOff>
      <xdr:row>24</xdr:row>
      <xdr:rowOff>208766</xdr:rowOff>
    </xdr:to>
    <xdr:cxnSp macro="">
      <xdr:nvCxnSpPr>
        <xdr:cNvPr id="169" name="Connecteur droit avec flèche 168"/>
        <xdr:cNvCxnSpPr>
          <a:endCxn id="155" idx="1"/>
        </xdr:cNvCxnSpPr>
      </xdr:nvCxnSpPr>
      <xdr:spPr>
        <a:xfrm flipV="1">
          <a:off x="10751506" y="5647085"/>
          <a:ext cx="741124" cy="313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66282</xdr:colOff>
      <xdr:row>31</xdr:row>
      <xdr:rowOff>52126</xdr:rowOff>
    </xdr:from>
    <xdr:to>
      <xdr:col>18</xdr:col>
      <xdr:colOff>20876</xdr:colOff>
      <xdr:row>31</xdr:row>
      <xdr:rowOff>146069</xdr:rowOff>
    </xdr:to>
    <xdr:cxnSp macro="">
      <xdr:nvCxnSpPr>
        <xdr:cNvPr id="170" name="Connecteur droit avec flèche 169"/>
        <xdr:cNvCxnSpPr>
          <a:stCxn id="65" idx="3"/>
          <a:endCxn id="76" idx="1"/>
        </xdr:cNvCxnSpPr>
      </xdr:nvCxnSpPr>
      <xdr:spPr>
        <a:xfrm flipV="1">
          <a:off x="2989022" y="7129331"/>
          <a:ext cx="1155005" cy="93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65653</xdr:colOff>
      <xdr:row>32</xdr:row>
      <xdr:rowOff>138926</xdr:rowOff>
    </xdr:from>
    <xdr:to>
      <xdr:col>18</xdr:col>
      <xdr:colOff>58455</xdr:colOff>
      <xdr:row>35</xdr:row>
      <xdr:rowOff>121018</xdr:rowOff>
    </xdr:to>
    <xdr:cxnSp macro="">
      <xdr:nvCxnSpPr>
        <xdr:cNvPr id="172" name="Connecteur droit avec flèche 171"/>
        <xdr:cNvCxnSpPr>
          <a:stCxn id="68" idx="3"/>
        </xdr:cNvCxnSpPr>
      </xdr:nvCxnSpPr>
      <xdr:spPr>
        <a:xfrm>
          <a:off x="2988393" y="7445775"/>
          <a:ext cx="1193213" cy="6710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41230</xdr:colOff>
      <xdr:row>26</xdr:row>
      <xdr:rowOff>180826</xdr:rowOff>
    </xdr:from>
    <xdr:to>
      <xdr:col>18</xdr:col>
      <xdr:colOff>11066</xdr:colOff>
      <xdr:row>30</xdr:row>
      <xdr:rowOff>204524</xdr:rowOff>
    </xdr:to>
    <xdr:cxnSp macro="">
      <xdr:nvCxnSpPr>
        <xdr:cNvPr id="175" name="Connecteur droit avec flèche 174"/>
        <xdr:cNvCxnSpPr>
          <a:endCxn id="73" idx="1"/>
        </xdr:cNvCxnSpPr>
      </xdr:nvCxnSpPr>
      <xdr:spPr>
        <a:xfrm flipV="1">
          <a:off x="2963970" y="6109812"/>
          <a:ext cx="1170247" cy="9422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197805</xdr:colOff>
      <xdr:row>14</xdr:row>
      <xdr:rowOff>100141</xdr:rowOff>
    </xdr:from>
    <xdr:to>
      <xdr:col>27</xdr:col>
      <xdr:colOff>52193</xdr:colOff>
      <xdr:row>14</xdr:row>
      <xdr:rowOff>187824</xdr:rowOff>
    </xdr:to>
    <xdr:cxnSp macro="">
      <xdr:nvCxnSpPr>
        <xdr:cNvPr id="177" name="Connecteur droit avec flèche 176"/>
        <xdr:cNvCxnSpPr>
          <a:endCxn id="100" idx="1"/>
        </xdr:cNvCxnSpPr>
      </xdr:nvCxnSpPr>
      <xdr:spPr>
        <a:xfrm>
          <a:off x="4978572" y="3273401"/>
          <a:ext cx="1326196" cy="876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191543</xdr:colOff>
      <xdr:row>14</xdr:row>
      <xdr:rowOff>187825</xdr:rowOff>
    </xdr:from>
    <xdr:to>
      <xdr:col>27</xdr:col>
      <xdr:colOff>62631</xdr:colOff>
      <xdr:row>18</xdr:row>
      <xdr:rowOff>146069</xdr:rowOff>
    </xdr:to>
    <xdr:cxnSp macro="">
      <xdr:nvCxnSpPr>
        <xdr:cNvPr id="179" name="Connecteur droit avec flèche 178"/>
        <xdr:cNvCxnSpPr>
          <a:stCxn id="89" idx="3"/>
          <a:endCxn id="106" idx="1"/>
        </xdr:cNvCxnSpPr>
      </xdr:nvCxnSpPr>
      <xdr:spPr>
        <a:xfrm>
          <a:off x="4972310" y="3361085"/>
          <a:ext cx="1342896" cy="876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183191</xdr:colOff>
      <xdr:row>15</xdr:row>
      <xdr:rowOff>2020</xdr:rowOff>
    </xdr:from>
    <xdr:to>
      <xdr:col>35</xdr:col>
      <xdr:colOff>178703</xdr:colOff>
      <xdr:row>20</xdr:row>
      <xdr:rowOff>155545</xdr:rowOff>
    </xdr:to>
    <xdr:cxnSp macro="">
      <xdr:nvCxnSpPr>
        <xdr:cNvPr id="183" name="Connecteur droit avec flèche 182"/>
        <xdr:cNvCxnSpPr>
          <a:endCxn id="114" idx="1"/>
        </xdr:cNvCxnSpPr>
      </xdr:nvCxnSpPr>
      <xdr:spPr>
        <a:xfrm>
          <a:off x="7093383" y="3404924"/>
          <a:ext cx="1195923" cy="130174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212420</xdr:colOff>
      <xdr:row>18</xdr:row>
      <xdr:rowOff>146068</xdr:rowOff>
    </xdr:from>
    <xdr:to>
      <xdr:col>35</xdr:col>
      <xdr:colOff>205843</xdr:colOff>
      <xdr:row>22</xdr:row>
      <xdr:rowOff>26109</xdr:rowOff>
    </xdr:to>
    <xdr:cxnSp macro="">
      <xdr:nvCxnSpPr>
        <xdr:cNvPr id="185" name="Connecteur droit avec flèche 184"/>
        <xdr:cNvCxnSpPr>
          <a:stCxn id="107" idx="3"/>
        </xdr:cNvCxnSpPr>
      </xdr:nvCxnSpPr>
      <xdr:spPr>
        <a:xfrm>
          <a:off x="7122612" y="4237904"/>
          <a:ext cx="1193834" cy="7986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180477</xdr:colOff>
      <xdr:row>20</xdr:row>
      <xdr:rowOff>211996</xdr:rowOff>
    </xdr:from>
    <xdr:to>
      <xdr:col>35</xdr:col>
      <xdr:colOff>180791</xdr:colOff>
      <xdr:row>22</xdr:row>
      <xdr:rowOff>74126</xdr:rowOff>
    </xdr:to>
    <xdr:cxnSp macro="">
      <xdr:nvCxnSpPr>
        <xdr:cNvPr id="188" name="Connecteur droit avec flèche 187"/>
        <xdr:cNvCxnSpPr/>
      </xdr:nvCxnSpPr>
      <xdr:spPr>
        <a:xfrm>
          <a:off x="4961244" y="4763119"/>
          <a:ext cx="3330150" cy="3214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186739</xdr:colOff>
      <xdr:row>22</xdr:row>
      <xdr:rowOff>128632</xdr:rowOff>
    </xdr:from>
    <xdr:to>
      <xdr:col>35</xdr:col>
      <xdr:colOff>178080</xdr:colOff>
      <xdr:row>35</xdr:row>
      <xdr:rowOff>218259</xdr:rowOff>
    </xdr:to>
    <xdr:cxnSp macro="">
      <xdr:nvCxnSpPr>
        <xdr:cNvPr id="190" name="Connecteur droit avec flèche 189"/>
        <xdr:cNvCxnSpPr>
          <a:endCxn id="115" idx="1"/>
        </xdr:cNvCxnSpPr>
      </xdr:nvCxnSpPr>
      <xdr:spPr>
        <a:xfrm flipV="1">
          <a:off x="4967506" y="5139043"/>
          <a:ext cx="3321177" cy="30749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176302</xdr:colOff>
      <xdr:row>31</xdr:row>
      <xdr:rowOff>82561</xdr:rowOff>
    </xdr:from>
    <xdr:to>
      <xdr:col>27</xdr:col>
      <xdr:colOff>93945</xdr:colOff>
      <xdr:row>32</xdr:row>
      <xdr:rowOff>125194</xdr:rowOff>
    </xdr:to>
    <xdr:cxnSp macro="">
      <xdr:nvCxnSpPr>
        <xdr:cNvPr id="192" name="Connecteur droit avec flèche 191"/>
        <xdr:cNvCxnSpPr>
          <a:endCxn id="118" idx="1"/>
        </xdr:cNvCxnSpPr>
      </xdr:nvCxnSpPr>
      <xdr:spPr>
        <a:xfrm>
          <a:off x="4957069" y="7159766"/>
          <a:ext cx="1389451" cy="2722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243732</xdr:colOff>
      <xdr:row>27</xdr:row>
      <xdr:rowOff>187265</xdr:rowOff>
    </xdr:from>
    <xdr:to>
      <xdr:col>35</xdr:col>
      <xdr:colOff>135699</xdr:colOff>
      <xdr:row>32</xdr:row>
      <xdr:rowOff>125168</xdr:rowOff>
    </xdr:to>
    <xdr:cxnSp macro="">
      <xdr:nvCxnSpPr>
        <xdr:cNvPr id="194" name="Connecteur droit avec flèche 193"/>
        <xdr:cNvCxnSpPr>
          <a:stCxn id="119" idx="3"/>
          <a:endCxn id="124" idx="1"/>
        </xdr:cNvCxnSpPr>
      </xdr:nvCxnSpPr>
      <xdr:spPr>
        <a:xfrm flipV="1">
          <a:off x="7216032" y="5887025"/>
          <a:ext cx="1103547" cy="10809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172126</xdr:colOff>
      <xdr:row>31</xdr:row>
      <xdr:rowOff>224522</xdr:rowOff>
    </xdr:from>
    <xdr:to>
      <xdr:col>27</xdr:col>
      <xdr:colOff>83507</xdr:colOff>
      <xdr:row>36</xdr:row>
      <xdr:rowOff>177386</xdr:rowOff>
    </xdr:to>
    <xdr:cxnSp macro="">
      <xdr:nvCxnSpPr>
        <xdr:cNvPr id="196" name="Connecteur droit avec flèche 195"/>
        <xdr:cNvCxnSpPr>
          <a:endCxn id="130" idx="1"/>
        </xdr:cNvCxnSpPr>
      </xdr:nvCxnSpPr>
      <xdr:spPr>
        <a:xfrm>
          <a:off x="4952893" y="7301727"/>
          <a:ext cx="1383189" cy="11010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172126</xdr:colOff>
      <xdr:row>25</xdr:row>
      <xdr:rowOff>45126</xdr:rowOff>
    </xdr:from>
    <xdr:to>
      <xdr:col>42</xdr:col>
      <xdr:colOff>240711</xdr:colOff>
      <xdr:row>25</xdr:row>
      <xdr:rowOff>78387</xdr:rowOff>
    </xdr:to>
    <xdr:cxnSp macro="">
      <xdr:nvCxnSpPr>
        <xdr:cNvPr id="199" name="Connecteur droit avec flèche 198"/>
        <xdr:cNvCxnSpPr/>
      </xdr:nvCxnSpPr>
      <xdr:spPr>
        <a:xfrm flipV="1">
          <a:off x="4952893" y="5744468"/>
          <a:ext cx="4985051" cy="33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53757</xdr:colOff>
      <xdr:row>21</xdr:row>
      <xdr:rowOff>39598</xdr:rowOff>
    </xdr:from>
    <xdr:to>
      <xdr:col>42</xdr:col>
      <xdr:colOff>241334</xdr:colOff>
      <xdr:row>23</xdr:row>
      <xdr:rowOff>165984</xdr:rowOff>
    </xdr:to>
    <xdr:cxnSp macro="">
      <xdr:nvCxnSpPr>
        <xdr:cNvPr id="201" name="Connecteur droit avec flèche 200"/>
        <xdr:cNvCxnSpPr>
          <a:endCxn id="138" idx="1"/>
        </xdr:cNvCxnSpPr>
      </xdr:nvCxnSpPr>
      <xdr:spPr>
        <a:xfrm>
          <a:off x="9093373" y="4820365"/>
          <a:ext cx="845194" cy="5856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14092</xdr:colOff>
      <xdr:row>25</xdr:row>
      <xdr:rowOff>159948</xdr:rowOff>
    </xdr:from>
    <xdr:to>
      <xdr:col>42</xdr:col>
      <xdr:colOff>240711</xdr:colOff>
      <xdr:row>27</xdr:row>
      <xdr:rowOff>187823</xdr:rowOff>
    </xdr:to>
    <xdr:cxnSp macro="">
      <xdr:nvCxnSpPr>
        <xdr:cNvPr id="203" name="Connecteur droit avec flèche 202"/>
        <xdr:cNvCxnSpPr>
          <a:stCxn id="125" idx="3"/>
          <a:endCxn id="139" idx="1"/>
        </xdr:cNvCxnSpPr>
      </xdr:nvCxnSpPr>
      <xdr:spPr>
        <a:xfrm flipV="1">
          <a:off x="9053708" y="5859290"/>
          <a:ext cx="884236" cy="4871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233296</xdr:colOff>
      <xdr:row>26</xdr:row>
      <xdr:rowOff>36358</xdr:rowOff>
    </xdr:from>
    <xdr:to>
      <xdr:col>43</xdr:col>
      <xdr:colOff>168935</xdr:colOff>
      <xdr:row>36</xdr:row>
      <xdr:rowOff>177385</xdr:rowOff>
    </xdr:to>
    <xdr:cxnSp macro="">
      <xdr:nvCxnSpPr>
        <xdr:cNvPr id="205" name="Connecteur droit avec flèche 204"/>
        <xdr:cNvCxnSpPr>
          <a:stCxn id="131" idx="3"/>
          <a:endCxn id="139" idx="2"/>
        </xdr:cNvCxnSpPr>
      </xdr:nvCxnSpPr>
      <xdr:spPr>
        <a:xfrm flipV="1">
          <a:off x="7143488" y="5965344"/>
          <a:ext cx="2994077" cy="2437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131001</xdr:colOff>
      <xdr:row>18</xdr:row>
      <xdr:rowOff>93878</xdr:rowOff>
    </xdr:from>
    <xdr:to>
      <xdr:col>10</xdr:col>
      <xdr:colOff>73068</xdr:colOff>
      <xdr:row>21</xdr:row>
      <xdr:rowOff>116842</xdr:rowOff>
    </xdr:to>
    <xdr:cxnSp macro="">
      <xdr:nvCxnSpPr>
        <xdr:cNvPr id="210" name="Connecteur droit avec flèche 209"/>
        <xdr:cNvCxnSpPr>
          <a:endCxn id="10" idx="1"/>
        </xdr:cNvCxnSpPr>
      </xdr:nvCxnSpPr>
      <xdr:spPr>
        <a:xfrm flipV="1">
          <a:off x="1195713" y="4185714"/>
          <a:ext cx="1142478" cy="71189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131001</xdr:colOff>
      <xdr:row>22</xdr:row>
      <xdr:rowOff>20810</xdr:rowOff>
    </xdr:from>
    <xdr:to>
      <xdr:col>9</xdr:col>
      <xdr:colOff>189142</xdr:colOff>
      <xdr:row>30</xdr:row>
      <xdr:rowOff>145106</xdr:rowOff>
    </xdr:to>
    <xdr:cxnSp macro="">
      <xdr:nvCxnSpPr>
        <xdr:cNvPr id="212" name="Connecteur droit avec flèche 211"/>
        <xdr:cNvCxnSpPr>
          <a:endCxn id="66" idx="1"/>
        </xdr:cNvCxnSpPr>
      </xdr:nvCxnSpPr>
      <xdr:spPr>
        <a:xfrm>
          <a:off x="1195713" y="5031221"/>
          <a:ext cx="987155" cy="19614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D17"/>
  <sheetViews>
    <sheetView workbookViewId="0">
      <selection activeCell="C33" sqref="C33"/>
    </sheetView>
  </sheetViews>
  <sheetFormatPr baseColWidth="10" defaultRowHeight="14.4" x14ac:dyDescent="0.3"/>
  <cols>
    <col min="1" max="1" width="11.5546875" style="7"/>
    <col min="2" max="2" width="55.88671875" style="6" customWidth="1"/>
    <col min="3" max="3" width="17" style="6" customWidth="1"/>
    <col min="4" max="4" width="30.109375" style="6" customWidth="1"/>
    <col min="5" max="16384" width="11.5546875" style="6"/>
  </cols>
  <sheetData>
    <row r="1" spans="1:4" ht="15" thickBot="1" x14ac:dyDescent="0.35"/>
    <row r="2" spans="1:4" ht="29.4" thickBot="1" x14ac:dyDescent="0.35">
      <c r="B2" s="1" t="s">
        <v>0</v>
      </c>
      <c r="C2" s="2" t="s">
        <v>1</v>
      </c>
      <c r="D2" s="2" t="s">
        <v>2</v>
      </c>
    </row>
    <row r="3" spans="1:4" ht="15" thickBot="1" x14ac:dyDescent="0.35">
      <c r="A3" s="7" t="s">
        <v>39</v>
      </c>
      <c r="B3" s="8"/>
      <c r="C3" s="9">
        <v>0</v>
      </c>
      <c r="D3" s="9"/>
    </row>
    <row r="4" spans="1:4" ht="15" thickBot="1" x14ac:dyDescent="0.35">
      <c r="A4" s="7" t="s">
        <v>11</v>
      </c>
      <c r="B4" s="3" t="s">
        <v>3</v>
      </c>
      <c r="C4" s="4">
        <v>50</v>
      </c>
      <c r="D4" s="5"/>
    </row>
    <row r="5" spans="1:4" ht="15" thickBot="1" x14ac:dyDescent="0.35">
      <c r="A5" s="7" t="s">
        <v>9</v>
      </c>
      <c r="B5" s="3" t="s">
        <v>4</v>
      </c>
      <c r="C5" s="4">
        <v>45</v>
      </c>
      <c r="D5" s="5"/>
    </row>
    <row r="6" spans="1:4" ht="15" thickBot="1" x14ac:dyDescent="0.35">
      <c r="A6" s="7" t="s">
        <v>25</v>
      </c>
      <c r="B6" s="3" t="s">
        <v>5</v>
      </c>
      <c r="C6" s="4">
        <v>15</v>
      </c>
      <c r="D6" s="5" t="s">
        <v>6</v>
      </c>
    </row>
    <row r="7" spans="1:4" ht="15" thickBot="1" x14ac:dyDescent="0.35">
      <c r="A7" s="7" t="s">
        <v>26</v>
      </c>
      <c r="B7" s="3" t="s">
        <v>7</v>
      </c>
      <c r="C7" s="4">
        <v>10</v>
      </c>
      <c r="D7" s="5" t="s">
        <v>6</v>
      </c>
    </row>
    <row r="8" spans="1:4" ht="15" thickBot="1" x14ac:dyDescent="0.35">
      <c r="A8" s="7" t="s">
        <v>27</v>
      </c>
      <c r="B8" s="3" t="s">
        <v>8</v>
      </c>
      <c r="C8" s="4">
        <v>30</v>
      </c>
      <c r="D8" s="5" t="s">
        <v>9</v>
      </c>
    </row>
    <row r="9" spans="1:4" ht="15" thickBot="1" x14ac:dyDescent="0.35">
      <c r="A9" s="7" t="s">
        <v>28</v>
      </c>
      <c r="B9" s="3" t="s">
        <v>10</v>
      </c>
      <c r="C9" s="4">
        <v>20</v>
      </c>
      <c r="D9" s="5" t="s">
        <v>11</v>
      </c>
    </row>
    <row r="10" spans="1:4" ht="15" thickBot="1" x14ac:dyDescent="0.35">
      <c r="A10" s="7" t="s">
        <v>29</v>
      </c>
      <c r="B10" s="3" t="s">
        <v>12</v>
      </c>
      <c r="C10" s="4">
        <v>8</v>
      </c>
      <c r="D10" s="5" t="s">
        <v>11</v>
      </c>
    </row>
    <row r="11" spans="1:4" ht="15" thickBot="1" x14ac:dyDescent="0.35">
      <c r="A11" s="7" t="s">
        <v>30</v>
      </c>
      <c r="B11" s="3" t="s">
        <v>13</v>
      </c>
      <c r="C11" s="4">
        <v>8</v>
      </c>
      <c r="D11" s="5" t="s">
        <v>14</v>
      </c>
    </row>
    <row r="12" spans="1:4" ht="15" thickBot="1" x14ac:dyDescent="0.35">
      <c r="A12" s="7" t="s">
        <v>31</v>
      </c>
      <c r="B12" s="3" t="s">
        <v>15</v>
      </c>
      <c r="C12" s="4">
        <v>5</v>
      </c>
      <c r="D12" s="5" t="s">
        <v>14</v>
      </c>
    </row>
    <row r="13" spans="1:4" ht="15" thickBot="1" x14ac:dyDescent="0.35">
      <c r="A13" s="7" t="s">
        <v>32</v>
      </c>
      <c r="B13" s="3" t="s">
        <v>16</v>
      </c>
      <c r="C13" s="4">
        <v>6</v>
      </c>
      <c r="D13" s="5" t="s">
        <v>17</v>
      </c>
    </row>
    <row r="14" spans="1:4" ht="15" thickBot="1" x14ac:dyDescent="0.35">
      <c r="A14" s="7" t="s">
        <v>33</v>
      </c>
      <c r="B14" s="3" t="s">
        <v>18</v>
      </c>
      <c r="C14" s="4">
        <v>6</v>
      </c>
      <c r="D14" s="5" t="s">
        <v>19</v>
      </c>
    </row>
    <row r="15" spans="1:4" ht="15" thickBot="1" x14ac:dyDescent="0.35">
      <c r="A15" s="7" t="s">
        <v>34</v>
      </c>
      <c r="B15" s="3" t="s">
        <v>20</v>
      </c>
      <c r="C15" s="4">
        <v>2</v>
      </c>
      <c r="D15" s="5" t="s">
        <v>21</v>
      </c>
    </row>
    <row r="16" spans="1:4" ht="15" thickBot="1" x14ac:dyDescent="0.35">
      <c r="A16" s="7" t="s">
        <v>35</v>
      </c>
      <c r="B16" s="3" t="s">
        <v>22</v>
      </c>
      <c r="C16" s="4">
        <v>6</v>
      </c>
      <c r="D16" s="5" t="s">
        <v>19</v>
      </c>
    </row>
    <row r="17" spans="1:4" ht="15" thickBot="1" x14ac:dyDescent="0.35">
      <c r="A17" s="7" t="s">
        <v>36</v>
      </c>
      <c r="B17" s="3" t="s">
        <v>23</v>
      </c>
      <c r="C17" s="4">
        <v>1</v>
      </c>
      <c r="D17" s="5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B2:BJ44"/>
  <sheetViews>
    <sheetView showGridLines="0" tabSelected="1" topLeftCell="A13" zoomScale="75" zoomScaleNormal="75" workbookViewId="0">
      <selection activeCell="AI38" sqref="AI38"/>
    </sheetView>
  </sheetViews>
  <sheetFormatPr baseColWidth="10" defaultColWidth="4" defaultRowHeight="14.4" x14ac:dyDescent="0.3"/>
  <cols>
    <col min="1" max="1" width="2" style="6" customWidth="1"/>
    <col min="2" max="4" width="4" style="6"/>
    <col min="5" max="5" width="1.6640625" style="6" customWidth="1"/>
    <col min="6" max="8" width="4" style="6"/>
    <col min="9" max="9" width="1.6640625" style="6" customWidth="1"/>
    <col min="10" max="12" width="4" style="6"/>
    <col min="13" max="13" width="1.6640625" style="6" customWidth="1"/>
    <col min="14" max="16" width="4" style="6"/>
    <col min="17" max="17" width="1.6640625" style="6" customWidth="1"/>
    <col min="18" max="20" width="4" style="6"/>
    <col min="21" max="21" width="1.6640625" style="6" customWidth="1"/>
    <col min="22" max="24" width="4" style="6"/>
    <col min="25" max="25" width="1.6640625" style="6" customWidth="1"/>
    <col min="26" max="28" width="4" style="6"/>
    <col min="29" max="29" width="1.6640625" style="6" customWidth="1"/>
    <col min="30" max="32" width="4" style="6"/>
    <col min="33" max="33" width="1.6640625" style="6" customWidth="1"/>
    <col min="34" max="36" width="4" style="6"/>
    <col min="37" max="37" width="1.6640625" style="6" customWidth="1"/>
    <col min="38" max="40" width="4" style="6"/>
    <col min="41" max="41" width="1.6640625" style="6" customWidth="1"/>
    <col min="42" max="44" width="4" style="6"/>
    <col min="45" max="45" width="1.6640625" style="6" customWidth="1"/>
    <col min="46" max="48" width="4" style="6"/>
    <col min="49" max="49" width="1.6640625" style="6" customWidth="1"/>
    <col min="50" max="52" width="4" style="6"/>
    <col min="53" max="53" width="1.6640625" style="6" customWidth="1"/>
    <col min="54" max="56" width="4" style="6"/>
    <col min="57" max="57" width="1.6640625" style="6" customWidth="1"/>
    <col min="58" max="16384" width="4" style="6"/>
  </cols>
  <sheetData>
    <row r="2" spans="2:62" x14ac:dyDescent="0.3">
      <c r="C2" s="7">
        <f>VLOOKUP(C3,Tb_duree,3,FALSE)</f>
        <v>50</v>
      </c>
      <c r="G2" s="7">
        <f>VLOOKUP(G3,Tb_duree,3,FALSE)</f>
        <v>45</v>
      </c>
      <c r="K2" s="7">
        <f>VLOOKUP(K3,Tb_duree,3,FALSE)</f>
        <v>15</v>
      </c>
      <c r="O2" s="7">
        <f>VLOOKUP(O3,Tb_duree,3,FALSE)</f>
        <v>10</v>
      </c>
      <c r="S2" s="7">
        <f>VLOOKUP(S3,Tb_duree,3,FALSE)</f>
        <v>30</v>
      </c>
      <c r="W2" s="7">
        <f>VLOOKUP(W3,Tb_duree,3,FALSE)</f>
        <v>20</v>
      </c>
      <c r="AA2" s="7">
        <f>VLOOKUP(AA3,Tb_duree,3,FALSE)</f>
        <v>8</v>
      </c>
      <c r="AE2" s="7">
        <f>VLOOKUP(AE3,Tb_duree,3,FALSE)</f>
        <v>8</v>
      </c>
      <c r="AI2" s="7">
        <f>VLOOKUP(AI3,Tb_duree,3,FALSE)</f>
        <v>5</v>
      </c>
      <c r="AM2" s="7">
        <f>VLOOKUP(AM3,Tb_duree,3,FALSE)</f>
        <v>6</v>
      </c>
      <c r="AQ2" s="7">
        <f>VLOOKUP(AQ3,Tb_duree,3,FALSE)</f>
        <v>6</v>
      </c>
      <c r="AU2" s="7">
        <f>VLOOKUP(AU3,Tb_duree,3,FALSE)</f>
        <v>2</v>
      </c>
      <c r="AY2" s="7">
        <f>VLOOKUP(AY3,Tb_duree,3,FALSE)</f>
        <v>6</v>
      </c>
      <c r="BC2" s="7">
        <f>VLOOKUP(BC3,Tb_duree,3,FALSE)</f>
        <v>1</v>
      </c>
      <c r="BG2" s="7"/>
    </row>
    <row r="3" spans="2:62" ht="19.2" customHeight="1" x14ac:dyDescent="0.3">
      <c r="B3" s="12">
        <v>0</v>
      </c>
      <c r="C3" s="13" t="s">
        <v>11</v>
      </c>
      <c r="D3" s="14"/>
      <c r="E3" s="15"/>
      <c r="F3" s="16">
        <v>0</v>
      </c>
      <c r="G3" s="13" t="s">
        <v>9</v>
      </c>
      <c r="H3" s="14"/>
      <c r="I3" s="15"/>
      <c r="J3" s="16">
        <v>50</v>
      </c>
      <c r="K3" s="13" t="s">
        <v>25</v>
      </c>
      <c r="L3" s="14"/>
      <c r="M3" s="15"/>
      <c r="N3" s="16">
        <v>50</v>
      </c>
      <c r="O3" s="13" t="s">
        <v>26</v>
      </c>
      <c r="P3" s="14"/>
      <c r="Q3" s="15"/>
      <c r="R3" s="16">
        <v>45</v>
      </c>
      <c r="S3" s="13" t="s">
        <v>27</v>
      </c>
      <c r="T3" s="14"/>
      <c r="U3" s="15"/>
      <c r="V3" s="16">
        <v>50</v>
      </c>
      <c r="W3" s="13" t="s">
        <v>28</v>
      </c>
      <c r="X3" s="14"/>
      <c r="Y3" s="15"/>
      <c r="Z3" s="16">
        <v>50</v>
      </c>
      <c r="AA3" s="13" t="s">
        <v>29</v>
      </c>
      <c r="AB3" s="14"/>
      <c r="AC3" s="15"/>
      <c r="AD3" s="16">
        <v>70</v>
      </c>
      <c r="AE3" s="13" t="s">
        <v>30</v>
      </c>
      <c r="AF3" s="14"/>
      <c r="AG3" s="15"/>
      <c r="AH3" s="16">
        <v>70</v>
      </c>
      <c r="AI3" s="13" t="s">
        <v>31</v>
      </c>
      <c r="AJ3" s="14"/>
      <c r="AK3" s="15"/>
      <c r="AL3" s="16">
        <v>78</v>
      </c>
      <c r="AM3" s="13" t="s">
        <v>32</v>
      </c>
      <c r="AN3" s="14"/>
      <c r="AO3" s="15"/>
      <c r="AP3" s="16">
        <v>60</v>
      </c>
      <c r="AQ3" s="13" t="s">
        <v>33</v>
      </c>
      <c r="AR3" s="14"/>
      <c r="AS3" s="15"/>
      <c r="AT3" s="16">
        <v>66</v>
      </c>
      <c r="AU3" s="13" t="s">
        <v>34</v>
      </c>
      <c r="AV3" s="14"/>
      <c r="AW3" s="15"/>
      <c r="AX3" s="16">
        <v>60</v>
      </c>
      <c r="AY3" s="13" t="s">
        <v>35</v>
      </c>
      <c r="AZ3" s="14"/>
      <c r="BA3" s="15"/>
      <c r="BB3" s="16">
        <v>84</v>
      </c>
      <c r="BC3" s="13" t="s">
        <v>36</v>
      </c>
      <c r="BD3" s="14"/>
      <c r="BE3" s="17"/>
      <c r="BF3" s="16">
        <v>85</v>
      </c>
      <c r="BG3" s="18" t="s">
        <v>37</v>
      </c>
      <c r="BH3" s="14"/>
    </row>
    <row r="4" spans="2:62" s="10" customFormat="1" ht="19.2" customHeight="1" x14ac:dyDescent="0.3">
      <c r="B4" s="19"/>
      <c r="C4" s="20" t="s">
        <v>39</v>
      </c>
      <c r="D4" s="20">
        <f t="shared" ref="D4:D9" si="0">IF(ISBLANK(C4),"",VLOOKUP(C4,Tb_duree,3,FALSE))</f>
        <v>0</v>
      </c>
      <c r="E4" s="21"/>
      <c r="F4" s="19"/>
      <c r="G4" s="20" t="s">
        <v>39</v>
      </c>
      <c r="H4" s="20">
        <f t="shared" ref="H4:H9" si="1">IF(ISBLANK(G4),"",VLOOKUP(G4,Tb_duree,3,FALSE))</f>
        <v>0</v>
      </c>
      <c r="I4" s="21"/>
      <c r="J4" s="19">
        <v>0</v>
      </c>
      <c r="K4" s="20" t="s">
        <v>11</v>
      </c>
      <c r="L4" s="20">
        <f t="shared" ref="L4:L9" si="2">IF(ISBLANK(K4),"",VLOOKUP(K4,Tb_duree,3,FALSE))</f>
        <v>50</v>
      </c>
      <c r="M4" s="21"/>
      <c r="N4" s="19">
        <v>0</v>
      </c>
      <c r="O4" s="20" t="s">
        <v>11</v>
      </c>
      <c r="P4" s="20">
        <f t="shared" ref="P4:P9" si="3">IF(ISBLANK(O4),"",VLOOKUP(O4,Tb_duree,3,FALSE))</f>
        <v>50</v>
      </c>
      <c r="Q4" s="21"/>
      <c r="R4" s="19">
        <v>0</v>
      </c>
      <c r="S4" s="20" t="s">
        <v>9</v>
      </c>
      <c r="T4" s="20">
        <f t="shared" ref="T4:T9" si="4">IF(ISBLANK(S4),"",VLOOKUP(S4,Tb_duree,3,FALSE))</f>
        <v>45</v>
      </c>
      <c r="U4" s="21"/>
      <c r="V4" s="19">
        <v>0</v>
      </c>
      <c r="W4" s="20" t="s">
        <v>11</v>
      </c>
      <c r="X4" s="20">
        <f t="shared" ref="X4:X9" si="5">IF(ISBLANK(W4),"",VLOOKUP(W4,Tb_duree,3,FALSE))</f>
        <v>50</v>
      </c>
      <c r="Y4" s="21"/>
      <c r="Z4" s="19">
        <v>0</v>
      </c>
      <c r="AA4" s="20" t="s">
        <v>11</v>
      </c>
      <c r="AB4" s="20">
        <f t="shared" ref="AB4:AB9" si="6">IF(ISBLANK(AA4),"",VLOOKUP(AA4,Tb_duree,3,FALSE))</f>
        <v>50</v>
      </c>
      <c r="AC4" s="21"/>
      <c r="AD4" s="19">
        <v>50</v>
      </c>
      <c r="AE4" s="20" t="s">
        <v>28</v>
      </c>
      <c r="AF4" s="20">
        <f t="shared" ref="AF4:AF9" si="7">IF(ISBLANK(AE4),"",VLOOKUP(AE4,Tb_duree,3,FALSE))</f>
        <v>20</v>
      </c>
      <c r="AG4" s="21"/>
      <c r="AH4" s="19">
        <v>50</v>
      </c>
      <c r="AI4" s="20" t="s">
        <v>28</v>
      </c>
      <c r="AJ4" s="20">
        <f t="shared" ref="AJ4:AJ9" si="8">IF(ISBLANK(AI4),"",VLOOKUP(AI4,Tb_duree,3,FALSE))</f>
        <v>20</v>
      </c>
      <c r="AK4" s="21"/>
      <c r="AL4" s="19">
        <v>45</v>
      </c>
      <c r="AM4" s="20" t="s">
        <v>27</v>
      </c>
      <c r="AN4" s="20">
        <f t="shared" ref="AN4:AN9" si="9">IF(ISBLANK(AM4),"",VLOOKUP(AM4,Tb_duree,3,FALSE))</f>
        <v>30</v>
      </c>
      <c r="AO4" s="21"/>
      <c r="AP4" s="19">
        <v>50</v>
      </c>
      <c r="AQ4" s="20" t="s">
        <v>26</v>
      </c>
      <c r="AR4" s="20">
        <f t="shared" ref="AR4:AR9" si="10">IF(ISBLANK(AQ4),"",VLOOKUP(AQ4,Tb_duree,3,FALSE))</f>
        <v>10</v>
      </c>
      <c r="AS4" s="21"/>
      <c r="AT4" s="19">
        <v>60</v>
      </c>
      <c r="AU4" s="20" t="s">
        <v>33</v>
      </c>
      <c r="AV4" s="20">
        <f t="shared" ref="AV4:AV9" si="11">IF(ISBLANK(AU4),"",VLOOKUP(AU4,Tb_duree,3,FALSE))</f>
        <v>6</v>
      </c>
      <c r="AW4" s="21"/>
      <c r="AX4" s="19">
        <v>50</v>
      </c>
      <c r="AY4" s="20" t="s">
        <v>26</v>
      </c>
      <c r="AZ4" s="20">
        <f t="shared" ref="AZ4:AZ9" si="12">IF(ISBLANK(AY4),"",VLOOKUP(AY4,Tb_duree,3,FALSE))</f>
        <v>10</v>
      </c>
      <c r="BA4" s="21"/>
      <c r="BB4" s="19">
        <v>50</v>
      </c>
      <c r="BC4" s="20" t="s">
        <v>25</v>
      </c>
      <c r="BD4" s="20">
        <f t="shared" ref="BD4:BD9" si="13">IF(ISBLANK(BC4),"",VLOOKUP(BC4,Tb_duree,3,FALSE))</f>
        <v>15</v>
      </c>
      <c r="BE4" s="22"/>
      <c r="BF4" s="19">
        <v>84</v>
      </c>
      <c r="BG4" s="20" t="s">
        <v>36</v>
      </c>
      <c r="BH4" s="20">
        <f t="shared" ref="BH4:BH9" si="14">IF(ISBLANK(BG4),"",VLOOKUP(BG4,Tb_duree,3,FALSE))</f>
        <v>1</v>
      </c>
      <c r="BJ4" s="6"/>
    </row>
    <row r="5" spans="2:62" s="10" customFormat="1" ht="19.2" customHeight="1" x14ac:dyDescent="0.3">
      <c r="B5" s="23"/>
      <c r="C5" s="24"/>
      <c r="D5" s="24" t="str">
        <f t="shared" si="0"/>
        <v/>
      </c>
      <c r="E5" s="21"/>
      <c r="F5" s="23"/>
      <c r="G5" s="24"/>
      <c r="H5" s="24" t="str">
        <f t="shared" si="1"/>
        <v/>
      </c>
      <c r="I5" s="21"/>
      <c r="J5" s="23">
        <v>0</v>
      </c>
      <c r="K5" s="24" t="s">
        <v>9</v>
      </c>
      <c r="L5" s="24">
        <f t="shared" si="2"/>
        <v>45</v>
      </c>
      <c r="M5" s="21"/>
      <c r="N5" s="23">
        <v>0</v>
      </c>
      <c r="O5" s="24" t="s">
        <v>9</v>
      </c>
      <c r="P5" s="24">
        <f t="shared" si="3"/>
        <v>45</v>
      </c>
      <c r="Q5" s="21"/>
      <c r="R5" s="23"/>
      <c r="S5" s="24"/>
      <c r="T5" s="24" t="str">
        <f t="shared" si="4"/>
        <v/>
      </c>
      <c r="U5" s="21"/>
      <c r="V5" s="23"/>
      <c r="W5" s="24"/>
      <c r="X5" s="24" t="str">
        <f t="shared" si="5"/>
        <v/>
      </c>
      <c r="Y5" s="21"/>
      <c r="Z5" s="23"/>
      <c r="AA5" s="24"/>
      <c r="AB5" s="24" t="str">
        <f t="shared" si="6"/>
        <v/>
      </c>
      <c r="AC5" s="21"/>
      <c r="AD5" s="23"/>
      <c r="AE5" s="24"/>
      <c r="AF5" s="24" t="str">
        <f t="shared" si="7"/>
        <v/>
      </c>
      <c r="AG5" s="21"/>
      <c r="AH5" s="23"/>
      <c r="AI5" s="24"/>
      <c r="AJ5" s="24" t="str">
        <f t="shared" si="8"/>
        <v/>
      </c>
      <c r="AK5" s="21"/>
      <c r="AL5" s="23"/>
      <c r="AM5" s="24"/>
      <c r="AN5" s="24" t="str">
        <f t="shared" si="9"/>
        <v/>
      </c>
      <c r="AO5" s="21"/>
      <c r="AP5" s="23"/>
      <c r="AQ5" s="24"/>
      <c r="AR5" s="24" t="str">
        <f t="shared" si="10"/>
        <v/>
      </c>
      <c r="AS5" s="21"/>
      <c r="AT5" s="23"/>
      <c r="AU5" s="24"/>
      <c r="AV5" s="24" t="str">
        <f t="shared" si="11"/>
        <v/>
      </c>
      <c r="AW5" s="21"/>
      <c r="AX5" s="23"/>
      <c r="AY5" s="24"/>
      <c r="AZ5" s="24" t="str">
        <f t="shared" si="12"/>
        <v/>
      </c>
      <c r="BA5" s="21"/>
      <c r="BB5" s="23"/>
      <c r="BC5" s="24"/>
      <c r="BD5" s="24" t="str">
        <f t="shared" si="13"/>
        <v/>
      </c>
      <c r="BE5" s="22"/>
      <c r="BF5" s="23"/>
      <c r="BG5" s="24"/>
      <c r="BH5" s="24" t="str">
        <f t="shared" si="14"/>
        <v/>
      </c>
      <c r="BJ5" s="6"/>
    </row>
    <row r="6" spans="2:62" s="10" customFormat="1" ht="19.2" customHeight="1" x14ac:dyDescent="0.3">
      <c r="B6" s="23"/>
      <c r="C6" s="24"/>
      <c r="D6" s="24" t="str">
        <f t="shared" si="0"/>
        <v/>
      </c>
      <c r="E6" s="21"/>
      <c r="F6" s="23"/>
      <c r="G6" s="24"/>
      <c r="H6" s="24" t="str">
        <f t="shared" si="1"/>
        <v/>
      </c>
      <c r="I6" s="21"/>
      <c r="J6" s="23"/>
      <c r="K6" s="24"/>
      <c r="L6" s="24" t="str">
        <f t="shared" si="2"/>
        <v/>
      </c>
      <c r="M6" s="21"/>
      <c r="N6" s="23"/>
      <c r="O6" s="24"/>
      <c r="P6" s="24" t="str">
        <f t="shared" si="3"/>
        <v/>
      </c>
      <c r="Q6" s="21"/>
      <c r="R6" s="23"/>
      <c r="S6" s="24"/>
      <c r="T6" s="24" t="str">
        <f t="shared" si="4"/>
        <v/>
      </c>
      <c r="U6" s="21"/>
      <c r="V6" s="23"/>
      <c r="W6" s="24"/>
      <c r="X6" s="24" t="str">
        <f t="shared" si="5"/>
        <v/>
      </c>
      <c r="Y6" s="21"/>
      <c r="Z6" s="23"/>
      <c r="AA6" s="24"/>
      <c r="AB6" s="24" t="str">
        <f t="shared" si="6"/>
        <v/>
      </c>
      <c r="AC6" s="21"/>
      <c r="AD6" s="23"/>
      <c r="AE6" s="24"/>
      <c r="AF6" s="24" t="str">
        <f t="shared" si="7"/>
        <v/>
      </c>
      <c r="AG6" s="21"/>
      <c r="AH6" s="23"/>
      <c r="AI6" s="24"/>
      <c r="AJ6" s="24" t="str">
        <f t="shared" si="8"/>
        <v/>
      </c>
      <c r="AK6" s="21"/>
      <c r="AL6" s="23">
        <v>50</v>
      </c>
      <c r="AM6" s="24" t="s">
        <v>29</v>
      </c>
      <c r="AN6" s="24">
        <f t="shared" si="9"/>
        <v>8</v>
      </c>
      <c r="AO6" s="21"/>
      <c r="AP6" s="23"/>
      <c r="AQ6" s="24"/>
      <c r="AR6" s="24" t="str">
        <f t="shared" si="10"/>
        <v/>
      </c>
      <c r="AS6" s="21"/>
      <c r="AT6" s="23"/>
      <c r="AU6" s="24"/>
      <c r="AV6" s="24" t="str">
        <f t="shared" si="11"/>
        <v/>
      </c>
      <c r="AW6" s="21"/>
      <c r="AX6" s="23"/>
      <c r="AY6" s="24"/>
      <c r="AZ6" s="24" t="str">
        <f t="shared" si="12"/>
        <v/>
      </c>
      <c r="BA6" s="21"/>
      <c r="BB6" s="23">
        <v>78</v>
      </c>
      <c r="BC6" s="24" t="s">
        <v>32</v>
      </c>
      <c r="BD6" s="24">
        <f t="shared" si="13"/>
        <v>6</v>
      </c>
      <c r="BE6" s="22"/>
      <c r="BF6" s="23"/>
      <c r="BG6" s="24"/>
      <c r="BH6" s="24" t="str">
        <f t="shared" si="14"/>
        <v/>
      </c>
      <c r="BJ6" s="6"/>
    </row>
    <row r="7" spans="2:62" s="10" customFormat="1" ht="19.2" customHeight="1" x14ac:dyDescent="0.3">
      <c r="B7" s="23"/>
      <c r="C7" s="24"/>
      <c r="D7" s="24" t="str">
        <f t="shared" si="0"/>
        <v/>
      </c>
      <c r="E7" s="21"/>
      <c r="F7" s="23"/>
      <c r="G7" s="24"/>
      <c r="H7" s="24" t="str">
        <f t="shared" si="1"/>
        <v/>
      </c>
      <c r="I7" s="21"/>
      <c r="J7" s="23"/>
      <c r="K7" s="24"/>
      <c r="L7" s="24" t="str">
        <f t="shared" si="2"/>
        <v/>
      </c>
      <c r="M7" s="21"/>
      <c r="N7" s="23"/>
      <c r="O7" s="24"/>
      <c r="P7" s="24" t="str">
        <f t="shared" si="3"/>
        <v/>
      </c>
      <c r="Q7" s="21"/>
      <c r="R7" s="23"/>
      <c r="S7" s="24"/>
      <c r="T7" s="24" t="str">
        <f t="shared" si="4"/>
        <v/>
      </c>
      <c r="U7" s="21"/>
      <c r="V7" s="23"/>
      <c r="W7" s="24"/>
      <c r="X7" s="24" t="str">
        <f t="shared" si="5"/>
        <v/>
      </c>
      <c r="Y7" s="21"/>
      <c r="Z7" s="23"/>
      <c r="AA7" s="24"/>
      <c r="AB7" s="24" t="str">
        <f t="shared" si="6"/>
        <v/>
      </c>
      <c r="AC7" s="21"/>
      <c r="AD7" s="23"/>
      <c r="AE7" s="24"/>
      <c r="AF7" s="24" t="str">
        <f t="shared" si="7"/>
        <v/>
      </c>
      <c r="AG7" s="21"/>
      <c r="AH7" s="23"/>
      <c r="AI7" s="24"/>
      <c r="AJ7" s="24" t="str">
        <f t="shared" si="8"/>
        <v/>
      </c>
      <c r="AK7" s="21"/>
      <c r="AL7" s="23">
        <v>70</v>
      </c>
      <c r="AM7" s="24" t="s">
        <v>30</v>
      </c>
      <c r="AN7" s="24">
        <f t="shared" si="9"/>
        <v>8</v>
      </c>
      <c r="AO7" s="21"/>
      <c r="AP7" s="23"/>
      <c r="AQ7" s="24"/>
      <c r="AR7" s="24" t="str">
        <f t="shared" si="10"/>
        <v/>
      </c>
      <c r="AS7" s="21"/>
      <c r="AT7" s="23"/>
      <c r="AU7" s="24"/>
      <c r="AV7" s="24" t="str">
        <f t="shared" si="11"/>
        <v/>
      </c>
      <c r="AW7" s="21"/>
      <c r="AX7" s="23"/>
      <c r="AY7" s="24"/>
      <c r="AZ7" s="24" t="str">
        <f t="shared" si="12"/>
        <v/>
      </c>
      <c r="BA7" s="21"/>
      <c r="BB7" s="23"/>
      <c r="BC7" s="24"/>
      <c r="BD7" s="24" t="str">
        <f t="shared" si="13"/>
        <v/>
      </c>
      <c r="BE7" s="22"/>
      <c r="BF7" s="23"/>
      <c r="BG7" s="24"/>
      <c r="BH7" s="24" t="str">
        <f t="shared" si="14"/>
        <v/>
      </c>
      <c r="BJ7" s="6"/>
    </row>
    <row r="8" spans="2:62" ht="19.2" customHeight="1" x14ac:dyDescent="0.3">
      <c r="B8" s="23"/>
      <c r="C8" s="24"/>
      <c r="D8" s="24" t="str">
        <f t="shared" si="0"/>
        <v/>
      </c>
      <c r="E8" s="22"/>
      <c r="F8" s="23"/>
      <c r="G8" s="24"/>
      <c r="H8" s="24" t="str">
        <f t="shared" si="1"/>
        <v/>
      </c>
      <c r="I8" s="22"/>
      <c r="J8" s="23"/>
      <c r="K8" s="24"/>
      <c r="L8" s="24" t="str">
        <f t="shared" si="2"/>
        <v/>
      </c>
      <c r="M8" s="22"/>
      <c r="N8" s="23"/>
      <c r="O8" s="24"/>
      <c r="P8" s="24" t="str">
        <f t="shared" si="3"/>
        <v/>
      </c>
      <c r="Q8" s="22"/>
      <c r="R8" s="23"/>
      <c r="S8" s="24"/>
      <c r="T8" s="24" t="str">
        <f t="shared" si="4"/>
        <v/>
      </c>
      <c r="U8" s="22"/>
      <c r="V8" s="23"/>
      <c r="W8" s="24"/>
      <c r="X8" s="24" t="str">
        <f t="shared" si="5"/>
        <v/>
      </c>
      <c r="Y8" s="22"/>
      <c r="Z8" s="23"/>
      <c r="AA8" s="24"/>
      <c r="AB8" s="24" t="str">
        <f t="shared" si="6"/>
        <v/>
      </c>
      <c r="AC8" s="22"/>
      <c r="AD8" s="23"/>
      <c r="AE8" s="24"/>
      <c r="AF8" s="24" t="str">
        <f t="shared" si="7"/>
        <v/>
      </c>
      <c r="AG8" s="22"/>
      <c r="AH8" s="23"/>
      <c r="AI8" s="24"/>
      <c r="AJ8" s="24" t="str">
        <f t="shared" si="8"/>
        <v/>
      </c>
      <c r="AK8" s="22"/>
      <c r="AL8" s="23">
        <v>70</v>
      </c>
      <c r="AM8" s="24" t="s">
        <v>31</v>
      </c>
      <c r="AN8" s="24">
        <f t="shared" si="9"/>
        <v>5</v>
      </c>
      <c r="AO8" s="22"/>
      <c r="AP8" s="23"/>
      <c r="AQ8" s="24"/>
      <c r="AR8" s="24" t="str">
        <f t="shared" si="10"/>
        <v/>
      </c>
      <c r="AS8" s="22"/>
      <c r="AT8" s="23"/>
      <c r="AU8" s="24"/>
      <c r="AV8" s="24" t="str">
        <f t="shared" si="11"/>
        <v/>
      </c>
      <c r="AW8" s="22"/>
      <c r="AX8" s="23"/>
      <c r="AY8" s="24"/>
      <c r="AZ8" s="24" t="str">
        <f t="shared" si="12"/>
        <v/>
      </c>
      <c r="BA8" s="22"/>
      <c r="BB8" s="23">
        <v>66</v>
      </c>
      <c r="BC8" s="24" t="s">
        <v>34</v>
      </c>
      <c r="BD8" s="24">
        <f t="shared" si="13"/>
        <v>2</v>
      </c>
      <c r="BE8" s="17"/>
      <c r="BF8" s="23"/>
      <c r="BG8" s="24"/>
      <c r="BH8" s="24" t="str">
        <f t="shared" si="14"/>
        <v/>
      </c>
    </row>
    <row r="9" spans="2:62" ht="19.2" customHeight="1" x14ac:dyDescent="0.3">
      <c r="B9" s="25"/>
      <c r="C9" s="26"/>
      <c r="D9" s="26" t="str">
        <f t="shared" si="0"/>
        <v/>
      </c>
      <c r="E9" s="22"/>
      <c r="F9" s="25"/>
      <c r="G9" s="26"/>
      <c r="H9" s="26" t="str">
        <f t="shared" si="1"/>
        <v/>
      </c>
      <c r="I9" s="22"/>
      <c r="J9" s="25"/>
      <c r="K9" s="26"/>
      <c r="L9" s="26" t="str">
        <f t="shared" si="2"/>
        <v/>
      </c>
      <c r="M9" s="22"/>
      <c r="N9" s="25"/>
      <c r="O9" s="26"/>
      <c r="P9" s="26" t="str">
        <f t="shared" si="3"/>
        <v/>
      </c>
      <c r="Q9" s="22"/>
      <c r="R9" s="25"/>
      <c r="S9" s="26"/>
      <c r="T9" s="26" t="str">
        <f t="shared" si="4"/>
        <v/>
      </c>
      <c r="U9" s="22"/>
      <c r="V9" s="25"/>
      <c r="W9" s="26"/>
      <c r="X9" s="26" t="str">
        <f t="shared" si="5"/>
        <v/>
      </c>
      <c r="Y9" s="22"/>
      <c r="Z9" s="25"/>
      <c r="AA9" s="26"/>
      <c r="AB9" s="26" t="str">
        <f t="shared" si="6"/>
        <v/>
      </c>
      <c r="AC9" s="22"/>
      <c r="AD9" s="25"/>
      <c r="AE9" s="26"/>
      <c r="AF9" s="26" t="str">
        <f t="shared" si="7"/>
        <v/>
      </c>
      <c r="AG9" s="22"/>
      <c r="AH9" s="25"/>
      <c r="AI9" s="26"/>
      <c r="AJ9" s="26" t="str">
        <f t="shared" si="8"/>
        <v/>
      </c>
      <c r="AK9" s="22"/>
      <c r="AL9" s="25"/>
      <c r="AM9" s="26"/>
      <c r="AN9" s="26" t="str">
        <f t="shared" si="9"/>
        <v/>
      </c>
      <c r="AO9" s="22"/>
      <c r="AP9" s="25"/>
      <c r="AQ9" s="26"/>
      <c r="AR9" s="26" t="str">
        <f t="shared" si="10"/>
        <v/>
      </c>
      <c r="AS9" s="22"/>
      <c r="AT9" s="25"/>
      <c r="AU9" s="26"/>
      <c r="AV9" s="26" t="str">
        <f t="shared" si="11"/>
        <v/>
      </c>
      <c r="AW9" s="22"/>
      <c r="AX9" s="25"/>
      <c r="AY9" s="26"/>
      <c r="AZ9" s="26" t="str">
        <f t="shared" si="12"/>
        <v/>
      </c>
      <c r="BA9" s="22"/>
      <c r="BB9" s="25">
        <v>60</v>
      </c>
      <c r="BC9" s="26" t="s">
        <v>35</v>
      </c>
      <c r="BD9" s="26">
        <f t="shared" si="13"/>
        <v>6</v>
      </c>
      <c r="BE9" s="17"/>
      <c r="BF9" s="25"/>
      <c r="BG9" s="26"/>
      <c r="BH9" s="26" t="str">
        <f t="shared" si="14"/>
        <v/>
      </c>
    </row>
    <row r="10" spans="2:62" ht="15.6" x14ac:dyDescent="0.3">
      <c r="B10" s="27"/>
      <c r="C10" s="28">
        <v>1</v>
      </c>
      <c r="D10" s="29"/>
      <c r="E10" s="17"/>
      <c r="F10" s="27"/>
      <c r="G10" s="28">
        <v>1</v>
      </c>
      <c r="H10" s="29"/>
      <c r="I10" s="17"/>
      <c r="J10" s="27"/>
      <c r="K10" s="28">
        <v>2</v>
      </c>
      <c r="L10" s="29"/>
      <c r="M10" s="17"/>
      <c r="N10" s="27"/>
      <c r="O10" s="28">
        <v>2</v>
      </c>
      <c r="P10" s="29"/>
      <c r="Q10" s="17"/>
      <c r="R10" s="27"/>
      <c r="S10" s="28">
        <v>2</v>
      </c>
      <c r="T10" s="29"/>
      <c r="U10" s="17"/>
      <c r="V10" s="27"/>
      <c r="W10" s="28">
        <v>2</v>
      </c>
      <c r="X10" s="29"/>
      <c r="Y10" s="17"/>
      <c r="Z10" s="27"/>
      <c r="AA10" s="28">
        <v>2</v>
      </c>
      <c r="AB10" s="29"/>
      <c r="AC10" s="17"/>
      <c r="AD10" s="27"/>
      <c r="AE10" s="28">
        <v>3</v>
      </c>
      <c r="AF10" s="29"/>
      <c r="AG10" s="17"/>
      <c r="AH10" s="27"/>
      <c r="AI10" s="28">
        <v>3</v>
      </c>
      <c r="AJ10" s="29"/>
      <c r="AK10" s="17"/>
      <c r="AL10" s="27"/>
      <c r="AM10" s="28">
        <v>4</v>
      </c>
      <c r="AN10" s="29"/>
      <c r="AO10" s="17"/>
      <c r="AP10" s="27"/>
      <c r="AQ10" s="28">
        <v>3</v>
      </c>
      <c r="AR10" s="29"/>
      <c r="AS10" s="17"/>
      <c r="AT10" s="27"/>
      <c r="AU10" s="28">
        <v>4</v>
      </c>
      <c r="AV10" s="29"/>
      <c r="AW10" s="17"/>
      <c r="AX10" s="27"/>
      <c r="AY10" s="28">
        <v>3</v>
      </c>
      <c r="AZ10" s="29"/>
      <c r="BA10" s="17"/>
      <c r="BB10" s="27"/>
      <c r="BC10" s="28">
        <v>5</v>
      </c>
      <c r="BD10" s="29"/>
      <c r="BE10" s="17"/>
      <c r="BF10" s="27"/>
      <c r="BG10" s="28">
        <v>6</v>
      </c>
      <c r="BH10" s="29"/>
    </row>
    <row r="11" spans="2:62" s="11" customFormat="1" ht="18" hidden="1" x14ac:dyDescent="0.3">
      <c r="B11" s="11">
        <v>0</v>
      </c>
      <c r="D11" s="11">
        <v>0</v>
      </c>
      <c r="F11" s="11">
        <v>0</v>
      </c>
      <c r="H11" s="11">
        <v>3</v>
      </c>
      <c r="J11" s="11">
        <v>19</v>
      </c>
      <c r="L11" s="11">
        <v>19</v>
      </c>
      <c r="N11" s="11">
        <v>0</v>
      </c>
      <c r="P11" s="11">
        <v>16</v>
      </c>
      <c r="R11" s="11">
        <v>3</v>
      </c>
      <c r="T11" s="11">
        <v>3</v>
      </c>
      <c r="V11" s="11">
        <v>0</v>
      </c>
      <c r="X11" s="11">
        <v>0</v>
      </c>
      <c r="Z11" s="11">
        <v>20</v>
      </c>
      <c r="AB11" s="11">
        <v>20</v>
      </c>
      <c r="AD11" s="11">
        <v>0</v>
      </c>
      <c r="AF11" s="11">
        <v>0</v>
      </c>
      <c r="AH11" s="11">
        <v>3</v>
      </c>
      <c r="AJ11" s="11">
        <v>3</v>
      </c>
      <c r="AL11" s="11">
        <v>0</v>
      </c>
      <c r="AN11" s="11">
        <v>0</v>
      </c>
      <c r="AP11" s="11">
        <v>0</v>
      </c>
      <c r="AR11" s="11">
        <v>16</v>
      </c>
      <c r="AT11" s="11">
        <v>16</v>
      </c>
      <c r="AV11" s="11">
        <v>16</v>
      </c>
      <c r="AX11" s="11">
        <v>18</v>
      </c>
      <c r="AZ11" s="11">
        <v>18</v>
      </c>
      <c r="BB11" s="11">
        <v>0</v>
      </c>
      <c r="BD11" s="11">
        <v>0</v>
      </c>
    </row>
    <row r="12" spans="2:62" ht="18" hidden="1" x14ac:dyDescent="0.3">
      <c r="B12" s="11" t="s">
        <v>38</v>
      </c>
    </row>
    <row r="13" spans="2:62" ht="34.799999999999997" customHeight="1" x14ac:dyDescent="0.3">
      <c r="B13" s="11"/>
    </row>
    <row r="14" spans="2:62" ht="18" x14ac:dyDescent="0.3">
      <c r="B14" s="11"/>
    </row>
    <row r="15" spans="2:62" ht="18" x14ac:dyDescent="0.3">
      <c r="B15" s="11"/>
    </row>
    <row r="16" spans="2:62" ht="18" x14ac:dyDescent="0.3">
      <c r="B16" s="11"/>
    </row>
    <row r="17" spans="2:2" ht="18" x14ac:dyDescent="0.3">
      <c r="B17" s="11"/>
    </row>
    <row r="18" spans="2:2" ht="18" x14ac:dyDescent="0.3">
      <c r="B18" s="11"/>
    </row>
    <row r="19" spans="2:2" ht="18" x14ac:dyDescent="0.3">
      <c r="B19" s="11"/>
    </row>
    <row r="20" spans="2:2" ht="18" x14ac:dyDescent="0.3">
      <c r="B20" s="11"/>
    </row>
    <row r="21" spans="2:2" ht="18" x14ac:dyDescent="0.3">
      <c r="B21" s="11"/>
    </row>
    <row r="22" spans="2:2" ht="18" x14ac:dyDescent="0.3">
      <c r="B22" s="11"/>
    </row>
    <row r="23" spans="2:2" ht="18" x14ac:dyDescent="0.3">
      <c r="B23" s="11"/>
    </row>
    <row r="24" spans="2:2" ht="18" x14ac:dyDescent="0.3">
      <c r="B24" s="11"/>
    </row>
    <row r="25" spans="2:2" ht="18" x14ac:dyDescent="0.3">
      <c r="B25" s="11"/>
    </row>
    <row r="26" spans="2:2" ht="18" x14ac:dyDescent="0.3">
      <c r="B26" s="11"/>
    </row>
    <row r="27" spans="2:2" ht="18" x14ac:dyDescent="0.3">
      <c r="B27" s="11"/>
    </row>
    <row r="28" spans="2:2" ht="18" x14ac:dyDescent="0.3">
      <c r="B28" s="11"/>
    </row>
    <row r="29" spans="2:2" ht="18" x14ac:dyDescent="0.3">
      <c r="B29" s="11"/>
    </row>
    <row r="30" spans="2:2" ht="18" x14ac:dyDescent="0.3">
      <c r="B30" s="11"/>
    </row>
    <row r="31" spans="2:2" ht="18" x14ac:dyDescent="0.3">
      <c r="B31" s="11"/>
    </row>
    <row r="32" spans="2:2" ht="18" x14ac:dyDescent="0.3">
      <c r="B32" s="11"/>
    </row>
    <row r="33" spans="2:2" ht="18" x14ac:dyDescent="0.3">
      <c r="B33" s="11"/>
    </row>
    <row r="34" spans="2:2" ht="18" x14ac:dyDescent="0.3">
      <c r="B34" s="11"/>
    </row>
    <row r="35" spans="2:2" ht="18" x14ac:dyDescent="0.3">
      <c r="B35" s="11"/>
    </row>
    <row r="36" spans="2:2" ht="18" x14ac:dyDescent="0.3">
      <c r="B36" s="11"/>
    </row>
    <row r="37" spans="2:2" ht="18" x14ac:dyDescent="0.3">
      <c r="B37" s="11"/>
    </row>
    <row r="38" spans="2:2" ht="18" x14ac:dyDescent="0.3">
      <c r="B38" s="11"/>
    </row>
    <row r="39" spans="2:2" ht="18" x14ac:dyDescent="0.3">
      <c r="B39" s="11"/>
    </row>
    <row r="40" spans="2:2" ht="18" x14ac:dyDescent="0.3">
      <c r="B40" s="11"/>
    </row>
    <row r="41" spans="2:2" ht="18" x14ac:dyDescent="0.3">
      <c r="B41" s="11"/>
    </row>
    <row r="42" spans="2:2" ht="18" x14ac:dyDescent="0.3">
      <c r="B42" s="11"/>
    </row>
    <row r="43" spans="2:2" ht="18" x14ac:dyDescent="0.3">
      <c r="B43" s="11"/>
    </row>
    <row r="44" spans="2:2" ht="18" x14ac:dyDescent="0.3">
      <c r="B44" s="11"/>
    </row>
  </sheetData>
  <pageMargins left="0.23622047244094491" right="0.23622047244094491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Enoncé</vt:lpstr>
      <vt:lpstr>Corrigé</vt:lpstr>
      <vt:lpstr>Tb_duree</vt:lpstr>
      <vt:lpstr>Corrigé!Zone_d_impression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castan@datac.fr</cp:lastModifiedBy>
  <cp:lastPrinted>2021-03-19T09:00:17Z</cp:lastPrinted>
  <dcterms:created xsi:type="dcterms:W3CDTF">2017-04-28T08:45:58Z</dcterms:created>
  <dcterms:modified xsi:type="dcterms:W3CDTF">2023-03-02T08:49:14Z</dcterms:modified>
</cp:coreProperties>
</file>