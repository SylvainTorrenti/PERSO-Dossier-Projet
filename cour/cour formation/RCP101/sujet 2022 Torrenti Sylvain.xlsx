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rs\Documents\GitHub\Dossier-Projet\cour\cour formation\RCP101\"/>
    </mc:Choice>
  </mc:AlternateContent>
  <xr:revisionPtr revIDLastSave="0" documentId="13_ncr:1_{13429F07-FF4D-40AF-A0D7-570F1496ADE6}" xr6:coauthVersionLast="47" xr6:coauthVersionMax="47" xr10:uidLastSave="{00000000-0000-0000-0000-000000000000}"/>
  <bookViews>
    <workbookView xWindow="-110" yWindow="-110" windowWidth="25820" windowHeight="15500" activeTab="3" xr2:uid="{8F48AEB9-3A92-441E-B0BB-70D256F46319}"/>
  </bookViews>
  <sheets>
    <sheet name="Exercice 1" sheetId="2" r:id="rId1"/>
    <sheet name="Exercice 2" sheetId="3" r:id="rId2"/>
    <sheet name="Exercice 3" sheetId="4" r:id="rId3"/>
    <sheet name="Exercice 4" sheetId="5" r:id="rId4"/>
  </sheets>
  <definedNames>
    <definedName name="solver_adj" localSheetId="3" hidden="1">'Exercice 4'!$F$34:$I$34</definedName>
    <definedName name="solver_cvg" localSheetId="3" hidden="1">0.0001</definedName>
    <definedName name="solver_drv" localSheetId="3" hidden="1">1</definedName>
    <definedName name="solver_eng" localSheetId="3" hidden="1">2</definedName>
    <definedName name="solver_est" localSheetId="3" hidden="1">1</definedName>
    <definedName name="solver_itr" localSheetId="3" hidden="1">2147483647</definedName>
    <definedName name="solver_lhs1" localSheetId="3" hidden="1">'Exercice 4'!$I$44</definedName>
    <definedName name="solver_lhs2" localSheetId="3" hidden="1">'Exercice 4'!$I$45</definedName>
    <definedName name="solver_lhs3" localSheetId="3" hidden="1">'Exercice 4'!$I$46</definedName>
    <definedName name="solver_lhs4" localSheetId="3" hidden="1">'Exercice 4'!$I$47</definedName>
    <definedName name="solver_lhs5" localSheetId="3" hidden="1">'Exercice 4'!$I$48</definedName>
    <definedName name="solver_mip" localSheetId="3" hidden="1">2147483647</definedName>
    <definedName name="solver_mni" localSheetId="3" hidden="1">30</definedName>
    <definedName name="solver_mrt" localSheetId="3" hidden="1">0.075</definedName>
    <definedName name="solver_msl" localSheetId="3" hidden="1">2</definedName>
    <definedName name="solver_neg" localSheetId="3" hidden="1">1</definedName>
    <definedName name="solver_nod" localSheetId="3" hidden="1">2147483647</definedName>
    <definedName name="solver_num" localSheetId="3" hidden="1">5</definedName>
    <definedName name="solver_nwt" localSheetId="3" hidden="1">1</definedName>
    <definedName name="solver_opt" localSheetId="3" hidden="1">'Exercice 4'!$E$38</definedName>
    <definedName name="solver_pre" localSheetId="3" hidden="1">0.000001</definedName>
    <definedName name="solver_rbv" localSheetId="3" hidden="1">1</definedName>
    <definedName name="solver_rel1" localSheetId="3" hidden="1">1</definedName>
    <definedName name="solver_rel2" localSheetId="3" hidden="1">1</definedName>
    <definedName name="solver_rel3" localSheetId="3" hidden="1">1</definedName>
    <definedName name="solver_rel4" localSheetId="3" hidden="1">1</definedName>
    <definedName name="solver_rel5" localSheetId="3" hidden="1">1</definedName>
    <definedName name="solver_rhs1" localSheetId="3" hidden="1">'Exercice 4'!$J$44</definedName>
    <definedName name="solver_rhs2" localSheetId="3" hidden="1">'Exercice 4'!$J$45</definedName>
    <definedName name="solver_rhs3" localSheetId="3" hidden="1">'Exercice 4'!$J$46</definedName>
    <definedName name="solver_rhs4" localSheetId="3" hidden="1">'Exercice 4'!$J$47</definedName>
    <definedName name="solver_rhs5" localSheetId="3" hidden="1">'Exercice 4'!$J$48</definedName>
    <definedName name="solver_rlx" localSheetId="3" hidden="1">2</definedName>
    <definedName name="solver_rsd" localSheetId="3" hidden="1">0</definedName>
    <definedName name="solver_scl" localSheetId="3" hidden="1">1</definedName>
    <definedName name="solver_sho" localSheetId="3" hidden="1">2</definedName>
    <definedName name="solver_ssz" localSheetId="3" hidden="1">100</definedName>
    <definedName name="solver_tim" localSheetId="3" hidden="1">2147483647</definedName>
    <definedName name="solver_tol" localSheetId="3" hidden="1">0.01</definedName>
    <definedName name="solver_typ" localSheetId="3" hidden="1">1</definedName>
    <definedName name="solver_val" localSheetId="3" hidden="1">0</definedName>
    <definedName name="solver_ver" localSheetId="3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6" i="5" l="1"/>
  <c r="H43" i="5" s="1"/>
  <c r="H36" i="5"/>
  <c r="G43" i="5" s="1"/>
  <c r="G36" i="5"/>
  <c r="F43" i="5" s="1"/>
  <c r="F36" i="5"/>
  <c r="E43" i="5" s="1"/>
  <c r="I48" i="5"/>
  <c r="I47" i="5"/>
  <c r="I46" i="5"/>
  <c r="I45" i="5"/>
  <c r="I44" i="5"/>
  <c r="E38" i="5"/>
</calcChain>
</file>

<file path=xl/sharedStrings.xml><?xml version="1.0" encoding="utf-8"?>
<sst xmlns="http://schemas.openxmlformats.org/spreadsheetml/2006/main" count="98" uniqueCount="81">
  <si>
    <t>A</t>
  </si>
  <si>
    <t>a</t>
  </si>
  <si>
    <t>b</t>
  </si>
  <si>
    <t>c</t>
  </si>
  <si>
    <t>d</t>
  </si>
  <si>
    <t>e</t>
  </si>
  <si>
    <t>f</t>
  </si>
  <si>
    <t>g</t>
  </si>
  <si>
    <t>α</t>
  </si>
  <si>
    <t>β</t>
  </si>
  <si>
    <t>(0) α</t>
  </si>
  <si>
    <t>(0) a</t>
  </si>
  <si>
    <t>(0) b</t>
  </si>
  <si>
    <t>(4) c</t>
  </si>
  <si>
    <t>(3) d</t>
  </si>
  <si>
    <t>(0) e</t>
  </si>
  <si>
    <t>a (4)</t>
  </si>
  <si>
    <t>b (3)</t>
  </si>
  <si>
    <t>c (6)</t>
  </si>
  <si>
    <t>d (2)</t>
  </si>
  <si>
    <t>e (8)</t>
  </si>
  <si>
    <t>f (7)</t>
  </si>
  <si>
    <t>g (1)</t>
  </si>
  <si>
    <t>a(4)</t>
  </si>
  <si>
    <t>b(3)</t>
  </si>
  <si>
    <t>d(2)</t>
  </si>
  <si>
    <t>c(6)</t>
  </si>
  <si>
    <t>f(7)</t>
  </si>
  <si>
    <t>e(8)</t>
  </si>
  <si>
    <t>g(1)</t>
  </si>
  <si>
    <t>G1</t>
  </si>
  <si>
    <t>G2</t>
  </si>
  <si>
    <t>G3</t>
  </si>
  <si>
    <t>G4</t>
  </si>
  <si>
    <t>2,5)</t>
  </si>
  <si>
    <t>C</t>
  </si>
  <si>
    <t>D</t>
  </si>
  <si>
    <t>E</t>
  </si>
  <si>
    <t>B</t>
  </si>
  <si>
    <t>H</t>
  </si>
  <si>
    <t>G</t>
  </si>
  <si>
    <t>F</t>
  </si>
  <si>
    <t>Variables de décision</t>
  </si>
  <si>
    <t>Quantité</t>
  </si>
  <si>
    <t>Benefice</t>
  </si>
  <si>
    <t>Prix</t>
  </si>
  <si>
    <t>Max Profit</t>
  </si>
  <si>
    <t>Utilisé</t>
  </si>
  <si>
    <t>Max</t>
  </si>
  <si>
    <t>MODELISATION</t>
  </si>
  <si>
    <t>2,2) oui abstraction de l'orientation</t>
  </si>
  <si>
    <t xml:space="preserve">2,3) oui car tout les sommet sont reliée </t>
  </si>
  <si>
    <t>2,4) Tous</t>
  </si>
  <si>
    <t>F : 1,6A+2B+1,8O+1,5S</t>
  </si>
  <si>
    <t>Capacité</t>
  </si>
  <si>
    <t>C1 : 0,8A + 0,73B + 0,66O +0,8S &lt;= 3400</t>
  </si>
  <si>
    <t>C2 : 0,8A &lt;= 500</t>
  </si>
  <si>
    <t>Avoine</t>
  </si>
  <si>
    <t>Blé</t>
  </si>
  <si>
    <t>Orge</t>
  </si>
  <si>
    <t>Seigle</t>
  </si>
  <si>
    <t>C4 : 0,66O &lt;= 800</t>
  </si>
  <si>
    <t>C5 : 0,8S &lt;= 1000</t>
  </si>
  <si>
    <t>X1</t>
  </si>
  <si>
    <t>X2</t>
  </si>
  <si>
    <t>X3</t>
  </si>
  <si>
    <t>X4</t>
  </si>
  <si>
    <t>X1 : Nbre de tonnes d'Avoine</t>
  </si>
  <si>
    <t>X2 : Nbre de tonnes de Blé</t>
  </si>
  <si>
    <t>X3 : Nbre de tonnes d'Orge</t>
  </si>
  <si>
    <t>X4 : Nbre de tonnes de Seigle</t>
  </si>
  <si>
    <t>Capacité maximum de la péniche</t>
  </si>
  <si>
    <t>Capacité maximum de Blé</t>
  </si>
  <si>
    <t>Capacité maximum d'Orge</t>
  </si>
  <si>
    <t>Capacité maximum de Seigle</t>
  </si>
  <si>
    <t>Capacité maximum d'Avoine</t>
  </si>
  <si>
    <t>1-Variable de décisions</t>
  </si>
  <si>
    <t>2-Contrainte &amp; objectif</t>
  </si>
  <si>
    <t>Objectif obtenir la meilleure marge</t>
  </si>
  <si>
    <t>3-Résolution</t>
  </si>
  <si>
    <t>C3 : 0,73B &lt;= 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</si>
</sst>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sz val="18"/>
      <color theme="5"/>
      <name val="Aptos Narrow"/>
      <family val="2"/>
      <scheme val="minor"/>
    </font>
    <font>
      <sz val="20"/>
      <color theme="5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0" xfId="0" applyFill="1"/>
    <xf numFmtId="0" fontId="2" fillId="0" borderId="1" xfId="0" applyFont="1" applyBorder="1" applyAlignment="1">
      <alignment horizontal="center"/>
    </xf>
    <xf numFmtId="0" fontId="0" fillId="0" borderId="2" xfId="0" applyBorder="1"/>
    <xf numFmtId="0" fontId="3" fillId="0" borderId="3" xfId="0" applyFont="1" applyBorder="1"/>
    <xf numFmtId="0" fontId="0" fillId="0" borderId="4" xfId="0" applyBorder="1"/>
    <xf numFmtId="0" fontId="2" fillId="0" borderId="5" xfId="0" applyFont="1" applyBorder="1" applyAlignment="1">
      <alignment horizontal="center"/>
    </xf>
    <xf numFmtId="0" fontId="0" fillId="0" borderId="6" xfId="0" applyBorder="1"/>
    <xf numFmtId="0" fontId="3" fillId="0" borderId="5" xfId="0" applyFont="1" applyBorder="1" applyAlignment="1">
      <alignment horizontal="left"/>
    </xf>
    <xf numFmtId="0" fontId="2" fillId="0" borderId="7" xfId="0" applyFont="1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2" borderId="9" xfId="0" applyFill="1" applyBorder="1"/>
    <xf numFmtId="0" fontId="0" fillId="2" borderId="0" xfId="0" applyFill="1" applyAlignment="1">
      <alignment horizontal="center"/>
    </xf>
    <xf numFmtId="0" fontId="1" fillId="2" borderId="0" xfId="0" applyFont="1" applyFill="1"/>
    <xf numFmtId="0" fontId="0" fillId="2" borderId="9" xfId="0" applyFill="1" applyBorder="1" applyAlignment="1">
      <alignment horizontal="center"/>
    </xf>
    <xf numFmtId="0" fontId="5" fillId="2" borderId="0" xfId="0" applyFont="1" applyFill="1"/>
    <xf numFmtId="0" fontId="5" fillId="3" borderId="9" xfId="0" applyFont="1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6" fillId="2" borderId="0" xfId="0" applyFont="1" applyFill="1"/>
    <xf numFmtId="0" fontId="7" fillId="2" borderId="0" xfId="0" applyFont="1" applyFill="1"/>
    <xf numFmtId="1" fontId="0" fillId="2" borderId="9" xfId="0" applyNumberFormat="1" applyFill="1" applyBorder="1" applyAlignment="1">
      <alignment horizontal="center"/>
    </xf>
    <xf numFmtId="3" fontId="5" fillId="3" borderId="9" xfId="0" applyNumberFormat="1" applyFont="1" applyFill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184150</xdr:colOff>
      <xdr:row>4</xdr:row>
      <xdr:rowOff>133350</xdr:rowOff>
    </xdr:from>
    <xdr:to>
      <xdr:col>1</xdr:col>
      <xdr:colOff>742950</xdr:colOff>
      <xdr:row>6</xdr:row>
      <xdr:rowOff>76200</xdr:rowOff>
    </xdr:to>
    <xdr:cxnSp macro="">
      <xdr:nvCxnSpPr>
        <xdr:cNvPr id="3" name="Connecteur droit avec flèche 2">
          <a:extLst>
            <a:ext uri="{FF2B5EF4-FFF2-40B4-BE49-F238E27FC236}">
              <a16:creationId xmlns:a16="http://schemas.microsoft.com/office/drawing/2014/main" id="{3DACDFC5-8485-4BAB-653A-A123BF57A901}"/>
            </a:ext>
          </a:extLst>
        </xdr:cNvPr>
        <xdr:cNvCxnSpPr/>
      </xdr:nvCxnSpPr>
      <xdr:spPr>
        <a:xfrm flipV="1">
          <a:off x="946150" y="869950"/>
          <a:ext cx="558800" cy="3111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120650</xdr:colOff>
      <xdr:row>2</xdr:row>
      <xdr:rowOff>139700</xdr:rowOff>
    </xdr:from>
    <xdr:to>
      <xdr:col>1</xdr:col>
      <xdr:colOff>736600</xdr:colOff>
      <xdr:row>5</xdr:row>
      <xdr:rowOff>152400</xdr:rowOff>
    </xdr:to>
    <xdr:cxnSp macro="">
      <xdr:nvCxnSpPr>
        <xdr:cNvPr id="4" name="Connecteur droit avec flèche 3">
          <a:extLst>
            <a:ext uri="{FF2B5EF4-FFF2-40B4-BE49-F238E27FC236}">
              <a16:creationId xmlns:a16="http://schemas.microsoft.com/office/drawing/2014/main" id="{EB241E70-C7B5-44DD-96F4-2BFCF6FF8A3E}"/>
            </a:ext>
          </a:extLst>
        </xdr:cNvPr>
        <xdr:cNvCxnSpPr/>
      </xdr:nvCxnSpPr>
      <xdr:spPr>
        <a:xfrm flipV="1">
          <a:off x="882650" y="508000"/>
          <a:ext cx="615950" cy="5651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203200</xdr:colOff>
      <xdr:row>6</xdr:row>
      <xdr:rowOff>158750</xdr:rowOff>
    </xdr:from>
    <xdr:to>
      <xdr:col>2</xdr:col>
      <xdr:colOff>0</xdr:colOff>
      <xdr:row>8</xdr:row>
      <xdr:rowOff>88900</xdr:rowOff>
    </xdr:to>
    <xdr:cxnSp macro="">
      <xdr:nvCxnSpPr>
        <xdr:cNvPr id="6" name="Connecteur droit avec flèche 5">
          <a:extLst>
            <a:ext uri="{FF2B5EF4-FFF2-40B4-BE49-F238E27FC236}">
              <a16:creationId xmlns:a16="http://schemas.microsoft.com/office/drawing/2014/main" id="{FBC9BDFD-AC14-4B49-9360-7EFD8CD11638}"/>
            </a:ext>
          </a:extLst>
        </xdr:cNvPr>
        <xdr:cNvCxnSpPr/>
      </xdr:nvCxnSpPr>
      <xdr:spPr>
        <a:xfrm>
          <a:off x="965200" y="1263650"/>
          <a:ext cx="558800" cy="2984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171450</xdr:colOff>
      <xdr:row>4</xdr:row>
      <xdr:rowOff>120650</xdr:rowOff>
    </xdr:from>
    <xdr:to>
      <xdr:col>2</xdr:col>
      <xdr:colOff>749300</xdr:colOff>
      <xdr:row>6</xdr:row>
      <xdr:rowOff>76200</xdr:rowOff>
    </xdr:to>
    <xdr:cxnSp macro="">
      <xdr:nvCxnSpPr>
        <xdr:cNvPr id="8" name="Connecteur droit avec flèche 7">
          <a:extLst>
            <a:ext uri="{FF2B5EF4-FFF2-40B4-BE49-F238E27FC236}">
              <a16:creationId xmlns:a16="http://schemas.microsoft.com/office/drawing/2014/main" id="{EB1409BC-E104-422E-846C-AB37DC41DBE4}"/>
            </a:ext>
          </a:extLst>
        </xdr:cNvPr>
        <xdr:cNvCxnSpPr/>
      </xdr:nvCxnSpPr>
      <xdr:spPr>
        <a:xfrm>
          <a:off x="1695450" y="857250"/>
          <a:ext cx="577850" cy="3238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190500</xdr:colOff>
      <xdr:row>6</xdr:row>
      <xdr:rowOff>127000</xdr:rowOff>
    </xdr:from>
    <xdr:to>
      <xdr:col>2</xdr:col>
      <xdr:colOff>749300</xdr:colOff>
      <xdr:row>8</xdr:row>
      <xdr:rowOff>69850</xdr:rowOff>
    </xdr:to>
    <xdr:cxnSp macro="">
      <xdr:nvCxnSpPr>
        <xdr:cNvPr id="10" name="Connecteur droit avec flèche 9">
          <a:extLst>
            <a:ext uri="{FF2B5EF4-FFF2-40B4-BE49-F238E27FC236}">
              <a16:creationId xmlns:a16="http://schemas.microsoft.com/office/drawing/2014/main" id="{ED2DA500-E7F7-4D29-8DFC-DAB7C05DB6C4}"/>
            </a:ext>
          </a:extLst>
        </xdr:cNvPr>
        <xdr:cNvCxnSpPr/>
      </xdr:nvCxnSpPr>
      <xdr:spPr>
        <a:xfrm flipV="1">
          <a:off x="1714500" y="1231900"/>
          <a:ext cx="558800" cy="3111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184150</xdr:colOff>
      <xdr:row>8</xdr:row>
      <xdr:rowOff>139700</xdr:rowOff>
    </xdr:from>
    <xdr:to>
      <xdr:col>2</xdr:col>
      <xdr:colOff>742950</xdr:colOff>
      <xdr:row>9</xdr:row>
      <xdr:rowOff>107950</xdr:rowOff>
    </xdr:to>
    <xdr:cxnSp macro="">
      <xdr:nvCxnSpPr>
        <xdr:cNvPr id="11" name="Connecteur droit avec flèche 10">
          <a:extLst>
            <a:ext uri="{FF2B5EF4-FFF2-40B4-BE49-F238E27FC236}">
              <a16:creationId xmlns:a16="http://schemas.microsoft.com/office/drawing/2014/main" id="{A2FD851F-8F8F-4E0F-B6BA-D8916B43B9BD}"/>
            </a:ext>
          </a:extLst>
        </xdr:cNvPr>
        <xdr:cNvCxnSpPr/>
      </xdr:nvCxnSpPr>
      <xdr:spPr>
        <a:xfrm>
          <a:off x="1708150" y="1612900"/>
          <a:ext cx="558800" cy="1524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152400</xdr:colOff>
      <xdr:row>6</xdr:row>
      <xdr:rowOff>44450</xdr:rowOff>
    </xdr:from>
    <xdr:to>
      <xdr:col>4</xdr:col>
      <xdr:colOff>723900</xdr:colOff>
      <xdr:row>9</xdr:row>
      <xdr:rowOff>69850</xdr:rowOff>
    </xdr:to>
    <xdr:cxnSp macro="">
      <xdr:nvCxnSpPr>
        <xdr:cNvPr id="13" name="Connecteur droit avec flèche 12">
          <a:extLst>
            <a:ext uri="{FF2B5EF4-FFF2-40B4-BE49-F238E27FC236}">
              <a16:creationId xmlns:a16="http://schemas.microsoft.com/office/drawing/2014/main" id="{0B4AFD02-6924-4640-A197-6AD8C5ECC780}"/>
            </a:ext>
          </a:extLst>
        </xdr:cNvPr>
        <xdr:cNvCxnSpPr/>
      </xdr:nvCxnSpPr>
      <xdr:spPr>
        <a:xfrm flipV="1">
          <a:off x="2438400" y="1149350"/>
          <a:ext cx="1333500" cy="5778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158750</xdr:colOff>
      <xdr:row>5</xdr:row>
      <xdr:rowOff>44450</xdr:rowOff>
    </xdr:from>
    <xdr:to>
      <xdr:col>4</xdr:col>
      <xdr:colOff>711200</xdr:colOff>
      <xdr:row>6</xdr:row>
      <xdr:rowOff>57150</xdr:rowOff>
    </xdr:to>
    <xdr:cxnSp macro="">
      <xdr:nvCxnSpPr>
        <xdr:cNvPr id="17" name="Connecteur droit avec flèche 16">
          <a:extLst>
            <a:ext uri="{FF2B5EF4-FFF2-40B4-BE49-F238E27FC236}">
              <a16:creationId xmlns:a16="http://schemas.microsoft.com/office/drawing/2014/main" id="{3B605DDE-DF24-4434-B15E-5B22EAD418D0}"/>
            </a:ext>
          </a:extLst>
        </xdr:cNvPr>
        <xdr:cNvCxnSpPr/>
      </xdr:nvCxnSpPr>
      <xdr:spPr>
        <a:xfrm flipV="1">
          <a:off x="2444750" y="965200"/>
          <a:ext cx="1314450" cy="1968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184150</xdr:colOff>
      <xdr:row>6</xdr:row>
      <xdr:rowOff>127000</xdr:rowOff>
    </xdr:from>
    <xdr:to>
      <xdr:col>3</xdr:col>
      <xdr:colOff>736600</xdr:colOff>
      <xdr:row>6</xdr:row>
      <xdr:rowOff>133350</xdr:rowOff>
    </xdr:to>
    <xdr:cxnSp macro="">
      <xdr:nvCxnSpPr>
        <xdr:cNvPr id="19" name="Connecteur droit avec flèche 18">
          <a:extLst>
            <a:ext uri="{FF2B5EF4-FFF2-40B4-BE49-F238E27FC236}">
              <a16:creationId xmlns:a16="http://schemas.microsoft.com/office/drawing/2014/main" id="{B6B180EB-C437-4A27-B589-4206CFCE094D}"/>
            </a:ext>
          </a:extLst>
        </xdr:cNvPr>
        <xdr:cNvCxnSpPr/>
      </xdr:nvCxnSpPr>
      <xdr:spPr>
        <a:xfrm flipV="1">
          <a:off x="2470150" y="1231900"/>
          <a:ext cx="552450" cy="63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171450</xdr:colOff>
      <xdr:row>2</xdr:row>
      <xdr:rowOff>120650</xdr:rowOff>
    </xdr:from>
    <xdr:to>
      <xdr:col>4</xdr:col>
      <xdr:colOff>685800</xdr:colOff>
      <xdr:row>4</xdr:row>
      <xdr:rowOff>146050</xdr:rowOff>
    </xdr:to>
    <xdr:cxnSp macro="">
      <xdr:nvCxnSpPr>
        <xdr:cNvPr id="21" name="Connecteur droit avec flèche 20">
          <a:extLst>
            <a:ext uri="{FF2B5EF4-FFF2-40B4-BE49-F238E27FC236}">
              <a16:creationId xmlns:a16="http://schemas.microsoft.com/office/drawing/2014/main" id="{C5EE5C6F-3106-44BC-BA5A-E04AD3183668}"/>
            </a:ext>
          </a:extLst>
        </xdr:cNvPr>
        <xdr:cNvCxnSpPr/>
      </xdr:nvCxnSpPr>
      <xdr:spPr>
        <a:xfrm>
          <a:off x="1695450" y="488950"/>
          <a:ext cx="2038350" cy="393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184150</xdr:colOff>
      <xdr:row>5</xdr:row>
      <xdr:rowOff>82550</xdr:rowOff>
    </xdr:from>
    <xdr:to>
      <xdr:col>5</xdr:col>
      <xdr:colOff>704850</xdr:colOff>
      <xdr:row>5</xdr:row>
      <xdr:rowOff>88900</xdr:rowOff>
    </xdr:to>
    <xdr:cxnSp macro="">
      <xdr:nvCxnSpPr>
        <xdr:cNvPr id="24" name="Connecteur droit avec flèche 23">
          <a:extLst>
            <a:ext uri="{FF2B5EF4-FFF2-40B4-BE49-F238E27FC236}">
              <a16:creationId xmlns:a16="http://schemas.microsoft.com/office/drawing/2014/main" id="{995CF626-F282-4B31-B68E-5B115A262A18}"/>
            </a:ext>
          </a:extLst>
        </xdr:cNvPr>
        <xdr:cNvCxnSpPr/>
      </xdr:nvCxnSpPr>
      <xdr:spPr>
        <a:xfrm flipV="1">
          <a:off x="3994150" y="1003300"/>
          <a:ext cx="520700" cy="63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317500</xdr:colOff>
      <xdr:row>24</xdr:row>
      <xdr:rowOff>44450</xdr:rowOff>
    </xdr:from>
    <xdr:to>
      <xdr:col>3</xdr:col>
      <xdr:colOff>615950</xdr:colOff>
      <xdr:row>27</xdr:row>
      <xdr:rowOff>19050</xdr:rowOff>
    </xdr:to>
    <xdr:cxnSp macro="">
      <xdr:nvCxnSpPr>
        <xdr:cNvPr id="28" name="Connecteur droit avec flèche 27">
          <a:extLst>
            <a:ext uri="{FF2B5EF4-FFF2-40B4-BE49-F238E27FC236}">
              <a16:creationId xmlns:a16="http://schemas.microsoft.com/office/drawing/2014/main" id="{FB8C52C0-A458-D335-0BB3-AFAD7C6A0BDC}"/>
            </a:ext>
          </a:extLst>
        </xdr:cNvPr>
        <xdr:cNvCxnSpPr/>
      </xdr:nvCxnSpPr>
      <xdr:spPr>
        <a:xfrm flipV="1">
          <a:off x="1079500" y="4489450"/>
          <a:ext cx="1822450" cy="5270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336550</xdr:colOff>
      <xdr:row>27</xdr:row>
      <xdr:rowOff>158750</xdr:rowOff>
    </xdr:from>
    <xdr:to>
      <xdr:col>3</xdr:col>
      <xdr:colOff>539750</xdr:colOff>
      <xdr:row>29</xdr:row>
      <xdr:rowOff>107950</xdr:rowOff>
    </xdr:to>
    <xdr:cxnSp macro="">
      <xdr:nvCxnSpPr>
        <xdr:cNvPr id="29" name="Connecteur droit avec flèche 28">
          <a:extLst>
            <a:ext uri="{FF2B5EF4-FFF2-40B4-BE49-F238E27FC236}">
              <a16:creationId xmlns:a16="http://schemas.microsoft.com/office/drawing/2014/main" id="{BC4D5BF3-3B7B-4417-9F58-D98B4C54D506}"/>
            </a:ext>
          </a:extLst>
        </xdr:cNvPr>
        <xdr:cNvCxnSpPr/>
      </xdr:nvCxnSpPr>
      <xdr:spPr>
        <a:xfrm>
          <a:off x="1098550" y="5156200"/>
          <a:ext cx="1727200" cy="3175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190500</xdr:colOff>
      <xdr:row>29</xdr:row>
      <xdr:rowOff>6350</xdr:rowOff>
    </xdr:from>
    <xdr:to>
      <xdr:col>3</xdr:col>
      <xdr:colOff>603250</xdr:colOff>
      <xdr:row>34</xdr:row>
      <xdr:rowOff>69850</xdr:rowOff>
    </xdr:to>
    <xdr:cxnSp macro="">
      <xdr:nvCxnSpPr>
        <xdr:cNvPr id="32" name="Connecteur droit avec flèche 31">
          <a:extLst>
            <a:ext uri="{FF2B5EF4-FFF2-40B4-BE49-F238E27FC236}">
              <a16:creationId xmlns:a16="http://schemas.microsoft.com/office/drawing/2014/main" id="{1BEA65D0-4B41-48F5-91B5-D81139C62725}"/>
            </a:ext>
          </a:extLst>
        </xdr:cNvPr>
        <xdr:cNvCxnSpPr/>
      </xdr:nvCxnSpPr>
      <xdr:spPr>
        <a:xfrm>
          <a:off x="952500" y="5372100"/>
          <a:ext cx="1936750" cy="9842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254000</xdr:colOff>
      <xdr:row>29</xdr:row>
      <xdr:rowOff>19050</xdr:rowOff>
    </xdr:from>
    <xdr:to>
      <xdr:col>7</xdr:col>
      <xdr:colOff>749300</xdr:colOff>
      <xdr:row>29</xdr:row>
      <xdr:rowOff>25400</xdr:rowOff>
    </xdr:to>
    <xdr:cxnSp macro="">
      <xdr:nvCxnSpPr>
        <xdr:cNvPr id="34" name="Connecteur droit avec flèche 33">
          <a:extLst>
            <a:ext uri="{FF2B5EF4-FFF2-40B4-BE49-F238E27FC236}">
              <a16:creationId xmlns:a16="http://schemas.microsoft.com/office/drawing/2014/main" id="{5336C40B-3016-48C5-8A0D-399BDB057367}"/>
            </a:ext>
          </a:extLst>
        </xdr:cNvPr>
        <xdr:cNvCxnSpPr/>
      </xdr:nvCxnSpPr>
      <xdr:spPr>
        <a:xfrm>
          <a:off x="4826000" y="5384800"/>
          <a:ext cx="1257300" cy="63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177800</xdr:colOff>
      <xdr:row>23</xdr:row>
      <xdr:rowOff>165100</xdr:rowOff>
    </xdr:from>
    <xdr:to>
      <xdr:col>9</xdr:col>
      <xdr:colOff>596900</xdr:colOff>
      <xdr:row>23</xdr:row>
      <xdr:rowOff>177800</xdr:rowOff>
    </xdr:to>
    <xdr:cxnSp macro="">
      <xdr:nvCxnSpPr>
        <xdr:cNvPr id="38" name="Connecteur droit avec flèche 37">
          <a:extLst>
            <a:ext uri="{FF2B5EF4-FFF2-40B4-BE49-F238E27FC236}">
              <a16:creationId xmlns:a16="http://schemas.microsoft.com/office/drawing/2014/main" id="{97AAFD86-2705-46C9-9B09-39E06FEA8DD4}"/>
            </a:ext>
          </a:extLst>
        </xdr:cNvPr>
        <xdr:cNvCxnSpPr/>
      </xdr:nvCxnSpPr>
      <xdr:spPr>
        <a:xfrm flipV="1">
          <a:off x="4749800" y="4425950"/>
          <a:ext cx="2705100" cy="12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184150</xdr:colOff>
      <xdr:row>25</xdr:row>
      <xdr:rowOff>19050</xdr:rowOff>
    </xdr:from>
    <xdr:to>
      <xdr:col>9</xdr:col>
      <xdr:colOff>647700</xdr:colOff>
      <xdr:row>27</xdr:row>
      <xdr:rowOff>152400</xdr:rowOff>
    </xdr:to>
    <xdr:cxnSp macro="">
      <xdr:nvCxnSpPr>
        <xdr:cNvPr id="43" name="Connecteur droit avec flèche 42">
          <a:extLst>
            <a:ext uri="{FF2B5EF4-FFF2-40B4-BE49-F238E27FC236}">
              <a16:creationId xmlns:a16="http://schemas.microsoft.com/office/drawing/2014/main" id="{C0238BF5-9B57-EDF8-84FE-E07A377D7798}"/>
            </a:ext>
          </a:extLst>
        </xdr:cNvPr>
        <xdr:cNvCxnSpPr/>
      </xdr:nvCxnSpPr>
      <xdr:spPr>
        <a:xfrm flipV="1">
          <a:off x="4756150" y="4648200"/>
          <a:ext cx="2749550" cy="501650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dash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133350</xdr:colOff>
      <xdr:row>23</xdr:row>
      <xdr:rowOff>152400</xdr:rowOff>
    </xdr:from>
    <xdr:to>
      <xdr:col>14</xdr:col>
      <xdr:colOff>647700</xdr:colOff>
      <xdr:row>23</xdr:row>
      <xdr:rowOff>165100</xdr:rowOff>
    </xdr:to>
    <xdr:cxnSp macro="">
      <xdr:nvCxnSpPr>
        <xdr:cNvPr id="44" name="Connecteur droit avec flèche 43">
          <a:extLst>
            <a:ext uri="{FF2B5EF4-FFF2-40B4-BE49-F238E27FC236}">
              <a16:creationId xmlns:a16="http://schemas.microsoft.com/office/drawing/2014/main" id="{BB8715C0-69B4-42AB-9C30-62346280FA32}"/>
            </a:ext>
          </a:extLst>
        </xdr:cNvPr>
        <xdr:cNvCxnSpPr/>
      </xdr:nvCxnSpPr>
      <xdr:spPr>
        <a:xfrm>
          <a:off x="9277350" y="4413250"/>
          <a:ext cx="2038350" cy="12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158750</xdr:colOff>
      <xdr:row>25</xdr:row>
      <xdr:rowOff>88900</xdr:rowOff>
    </xdr:from>
    <xdr:to>
      <xdr:col>14</xdr:col>
      <xdr:colOff>660400</xdr:colOff>
      <xdr:row>30</xdr:row>
      <xdr:rowOff>107950</xdr:rowOff>
    </xdr:to>
    <xdr:cxnSp macro="">
      <xdr:nvCxnSpPr>
        <xdr:cNvPr id="46" name="Connecteur droit avec flèche 45">
          <a:extLst>
            <a:ext uri="{FF2B5EF4-FFF2-40B4-BE49-F238E27FC236}">
              <a16:creationId xmlns:a16="http://schemas.microsoft.com/office/drawing/2014/main" id="{3B6DBF65-FDAF-4DB9-893E-E0E853A76D8F}"/>
            </a:ext>
          </a:extLst>
        </xdr:cNvPr>
        <xdr:cNvCxnSpPr/>
      </xdr:nvCxnSpPr>
      <xdr:spPr>
        <a:xfrm>
          <a:off x="9302750" y="4718050"/>
          <a:ext cx="2025650" cy="939800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dash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374650</xdr:colOff>
      <xdr:row>29</xdr:row>
      <xdr:rowOff>95250</xdr:rowOff>
    </xdr:from>
    <xdr:to>
      <xdr:col>14</xdr:col>
      <xdr:colOff>393700</xdr:colOff>
      <xdr:row>30</xdr:row>
      <xdr:rowOff>76200</xdr:rowOff>
    </xdr:to>
    <xdr:cxnSp macro="">
      <xdr:nvCxnSpPr>
        <xdr:cNvPr id="49" name="Connecteur droit avec flèche 48">
          <a:extLst>
            <a:ext uri="{FF2B5EF4-FFF2-40B4-BE49-F238E27FC236}">
              <a16:creationId xmlns:a16="http://schemas.microsoft.com/office/drawing/2014/main" id="{98D482CD-D138-4966-A75E-69E03E6DD6C1}"/>
            </a:ext>
          </a:extLst>
        </xdr:cNvPr>
        <xdr:cNvCxnSpPr/>
      </xdr:nvCxnSpPr>
      <xdr:spPr>
        <a:xfrm>
          <a:off x="7994650" y="5461000"/>
          <a:ext cx="3067050" cy="165100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dash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</xdr:col>
      <xdr:colOff>215900</xdr:colOff>
      <xdr:row>31</xdr:row>
      <xdr:rowOff>69850</xdr:rowOff>
    </xdr:from>
    <xdr:to>
      <xdr:col>14</xdr:col>
      <xdr:colOff>654050</xdr:colOff>
      <xdr:row>34</xdr:row>
      <xdr:rowOff>6350</xdr:rowOff>
    </xdr:to>
    <xdr:cxnSp macro="">
      <xdr:nvCxnSpPr>
        <xdr:cNvPr id="51" name="Connecteur droit avec flèche 50">
          <a:extLst>
            <a:ext uri="{FF2B5EF4-FFF2-40B4-BE49-F238E27FC236}">
              <a16:creationId xmlns:a16="http://schemas.microsoft.com/office/drawing/2014/main" id="{64BEB82E-1EED-4561-99F5-3E1B1BBE3F44}"/>
            </a:ext>
          </a:extLst>
        </xdr:cNvPr>
        <xdr:cNvCxnSpPr/>
      </xdr:nvCxnSpPr>
      <xdr:spPr>
        <a:xfrm flipV="1">
          <a:off x="4787900" y="5803900"/>
          <a:ext cx="6534150" cy="4889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107950</xdr:colOff>
      <xdr:row>24</xdr:row>
      <xdr:rowOff>12700</xdr:rowOff>
    </xdr:from>
    <xdr:to>
      <xdr:col>18</xdr:col>
      <xdr:colOff>622300</xdr:colOff>
      <xdr:row>26</xdr:row>
      <xdr:rowOff>133350</xdr:rowOff>
    </xdr:to>
    <xdr:cxnSp macro="">
      <xdr:nvCxnSpPr>
        <xdr:cNvPr id="53" name="Connecteur droit avec flèche 52">
          <a:extLst>
            <a:ext uri="{FF2B5EF4-FFF2-40B4-BE49-F238E27FC236}">
              <a16:creationId xmlns:a16="http://schemas.microsoft.com/office/drawing/2014/main" id="{4843AE49-5E72-4025-BC01-3308693D59C1}"/>
            </a:ext>
          </a:extLst>
        </xdr:cNvPr>
        <xdr:cNvCxnSpPr/>
      </xdr:nvCxnSpPr>
      <xdr:spPr>
        <a:xfrm>
          <a:off x="13061950" y="4457700"/>
          <a:ext cx="1276350" cy="4889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107950</xdr:rowOff>
    </xdr:from>
    <xdr:to>
      <xdr:col>7</xdr:col>
      <xdr:colOff>184150</xdr:colOff>
      <xdr:row>5</xdr:row>
      <xdr:rowOff>50800</xdr:rowOff>
    </xdr:to>
    <xdr:sp macro="" textlink="">
      <xdr:nvSpPr>
        <xdr:cNvPr id="2" name="Ellipse 1">
          <a:extLst>
            <a:ext uri="{FF2B5EF4-FFF2-40B4-BE49-F238E27FC236}">
              <a16:creationId xmlns:a16="http://schemas.microsoft.com/office/drawing/2014/main" id="{5F30AC46-16CF-0BA9-EA0E-CAA15AF9D128}"/>
            </a:ext>
          </a:extLst>
        </xdr:cNvPr>
        <xdr:cNvSpPr/>
      </xdr:nvSpPr>
      <xdr:spPr>
        <a:xfrm>
          <a:off x="4572000" y="107950"/>
          <a:ext cx="946150" cy="8636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/>
            <a:t>G1</a:t>
          </a:r>
        </a:p>
        <a:p>
          <a:pPr algn="l"/>
          <a:endParaRPr lang="fr-FR" sz="1100"/>
        </a:p>
      </xdr:txBody>
    </xdr:sp>
    <xdr:clientData/>
  </xdr:twoCellAnchor>
  <xdr:twoCellAnchor>
    <xdr:from>
      <xdr:col>5</xdr:col>
      <xdr:colOff>730250</xdr:colOff>
      <xdr:row>15</xdr:row>
      <xdr:rowOff>133350</xdr:rowOff>
    </xdr:from>
    <xdr:to>
      <xdr:col>7</xdr:col>
      <xdr:colOff>152400</xdr:colOff>
      <xdr:row>20</xdr:row>
      <xdr:rowOff>76200</xdr:rowOff>
    </xdr:to>
    <xdr:sp macro="" textlink="">
      <xdr:nvSpPr>
        <xdr:cNvPr id="3" name="Ellipse 2">
          <a:extLst>
            <a:ext uri="{FF2B5EF4-FFF2-40B4-BE49-F238E27FC236}">
              <a16:creationId xmlns:a16="http://schemas.microsoft.com/office/drawing/2014/main" id="{1B5482E3-04B0-420E-B4DA-93C70A80F183}"/>
            </a:ext>
          </a:extLst>
        </xdr:cNvPr>
        <xdr:cNvSpPr/>
      </xdr:nvSpPr>
      <xdr:spPr>
        <a:xfrm>
          <a:off x="4540250" y="2895600"/>
          <a:ext cx="946150" cy="8636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/>
            <a:t>G2</a:t>
          </a:r>
        </a:p>
      </xdr:txBody>
    </xdr:sp>
    <xdr:clientData/>
  </xdr:twoCellAnchor>
  <xdr:twoCellAnchor>
    <xdr:from>
      <xdr:col>7</xdr:col>
      <xdr:colOff>558800</xdr:colOff>
      <xdr:row>6</xdr:row>
      <xdr:rowOff>82550</xdr:rowOff>
    </xdr:from>
    <xdr:to>
      <xdr:col>8</xdr:col>
      <xdr:colOff>742950</xdr:colOff>
      <xdr:row>11</xdr:row>
      <xdr:rowOff>25400</xdr:rowOff>
    </xdr:to>
    <xdr:sp macro="" textlink="">
      <xdr:nvSpPr>
        <xdr:cNvPr id="4" name="Ellipse 3">
          <a:extLst>
            <a:ext uri="{FF2B5EF4-FFF2-40B4-BE49-F238E27FC236}">
              <a16:creationId xmlns:a16="http://schemas.microsoft.com/office/drawing/2014/main" id="{DDBEB01B-0687-4002-A74A-4DCEBBB147BB}"/>
            </a:ext>
          </a:extLst>
        </xdr:cNvPr>
        <xdr:cNvSpPr/>
      </xdr:nvSpPr>
      <xdr:spPr>
        <a:xfrm>
          <a:off x="5892800" y="1187450"/>
          <a:ext cx="946150" cy="8636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/>
            <a:t>G4</a:t>
          </a:r>
        </a:p>
      </xdr:txBody>
    </xdr:sp>
    <xdr:clientData/>
  </xdr:twoCellAnchor>
  <xdr:twoCellAnchor>
    <xdr:from>
      <xdr:col>11</xdr:col>
      <xdr:colOff>114300</xdr:colOff>
      <xdr:row>3</xdr:row>
      <xdr:rowOff>82550</xdr:rowOff>
    </xdr:from>
    <xdr:to>
      <xdr:col>12</xdr:col>
      <xdr:colOff>298450</xdr:colOff>
      <xdr:row>8</xdr:row>
      <xdr:rowOff>25400</xdr:rowOff>
    </xdr:to>
    <xdr:sp macro="" textlink="">
      <xdr:nvSpPr>
        <xdr:cNvPr id="5" name="Ellipse 4">
          <a:extLst>
            <a:ext uri="{FF2B5EF4-FFF2-40B4-BE49-F238E27FC236}">
              <a16:creationId xmlns:a16="http://schemas.microsoft.com/office/drawing/2014/main" id="{F3C11542-D192-45CD-B818-91517F0433B5}"/>
            </a:ext>
          </a:extLst>
        </xdr:cNvPr>
        <xdr:cNvSpPr/>
      </xdr:nvSpPr>
      <xdr:spPr>
        <a:xfrm>
          <a:off x="8496300" y="635000"/>
          <a:ext cx="946150" cy="8636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/>
            <a:t>G3</a:t>
          </a:r>
        </a:p>
      </xdr:txBody>
    </xdr:sp>
    <xdr:clientData/>
  </xdr:twoCellAnchor>
  <xdr:twoCellAnchor>
    <xdr:from>
      <xdr:col>6</xdr:col>
      <xdr:colOff>441325</xdr:colOff>
      <xdr:row>5</xdr:row>
      <xdr:rowOff>50800</xdr:rowOff>
    </xdr:from>
    <xdr:to>
      <xdr:col>6</xdr:col>
      <xdr:colOff>473075</xdr:colOff>
      <xdr:row>15</xdr:row>
      <xdr:rowOff>133350</xdr:rowOff>
    </xdr:to>
    <xdr:cxnSp macro="">
      <xdr:nvCxnSpPr>
        <xdr:cNvPr id="7" name="Connecteur droit avec flèche 6">
          <a:extLst>
            <a:ext uri="{FF2B5EF4-FFF2-40B4-BE49-F238E27FC236}">
              <a16:creationId xmlns:a16="http://schemas.microsoft.com/office/drawing/2014/main" id="{CE0D936A-EA9C-12D2-3E1B-CB86B846D174}"/>
            </a:ext>
          </a:extLst>
        </xdr:cNvPr>
        <xdr:cNvCxnSpPr>
          <a:stCxn id="2" idx="4"/>
          <a:endCxn id="3" idx="0"/>
        </xdr:cNvCxnSpPr>
      </xdr:nvCxnSpPr>
      <xdr:spPr>
        <a:xfrm flipH="1">
          <a:off x="5013325" y="971550"/>
          <a:ext cx="31750" cy="19240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45590</xdr:colOff>
      <xdr:row>4</xdr:row>
      <xdr:rowOff>108479</xdr:rowOff>
    </xdr:from>
    <xdr:to>
      <xdr:col>7</xdr:col>
      <xdr:colOff>697360</xdr:colOff>
      <xdr:row>7</xdr:row>
      <xdr:rowOff>24871</xdr:rowOff>
    </xdr:to>
    <xdr:cxnSp macro="">
      <xdr:nvCxnSpPr>
        <xdr:cNvPr id="9" name="Connecteur droit avec flèche 8">
          <a:extLst>
            <a:ext uri="{FF2B5EF4-FFF2-40B4-BE49-F238E27FC236}">
              <a16:creationId xmlns:a16="http://schemas.microsoft.com/office/drawing/2014/main" id="{EBA15999-1923-0FEB-120F-49592867691A}"/>
            </a:ext>
          </a:extLst>
        </xdr:cNvPr>
        <xdr:cNvCxnSpPr>
          <a:stCxn id="2" idx="5"/>
          <a:endCxn id="4" idx="1"/>
        </xdr:cNvCxnSpPr>
      </xdr:nvCxnSpPr>
      <xdr:spPr>
        <a:xfrm>
          <a:off x="5379590" y="845079"/>
          <a:ext cx="651770" cy="468842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152400</xdr:colOff>
      <xdr:row>7</xdr:row>
      <xdr:rowOff>83079</xdr:rowOff>
    </xdr:from>
    <xdr:to>
      <xdr:col>11</xdr:col>
      <xdr:colOff>252860</xdr:colOff>
      <xdr:row>18</xdr:row>
      <xdr:rowOff>12700</xdr:rowOff>
    </xdr:to>
    <xdr:cxnSp macro="">
      <xdr:nvCxnSpPr>
        <xdr:cNvPr id="17" name="Connecteur droit avec flèche 16">
          <a:extLst>
            <a:ext uri="{FF2B5EF4-FFF2-40B4-BE49-F238E27FC236}">
              <a16:creationId xmlns:a16="http://schemas.microsoft.com/office/drawing/2014/main" id="{4A85CD65-DD27-18C8-1F0B-65A79C38E778}"/>
            </a:ext>
          </a:extLst>
        </xdr:cNvPr>
        <xdr:cNvCxnSpPr>
          <a:stCxn id="3" idx="6"/>
          <a:endCxn id="5" idx="3"/>
        </xdr:cNvCxnSpPr>
      </xdr:nvCxnSpPr>
      <xdr:spPr>
        <a:xfrm flipV="1">
          <a:off x="5486400" y="1372129"/>
          <a:ext cx="3148460" cy="195527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184150</xdr:colOff>
      <xdr:row>2</xdr:row>
      <xdr:rowOff>171450</xdr:rowOff>
    </xdr:from>
    <xdr:to>
      <xdr:col>11</xdr:col>
      <xdr:colOff>252860</xdr:colOff>
      <xdr:row>4</xdr:row>
      <xdr:rowOff>24871</xdr:rowOff>
    </xdr:to>
    <xdr:cxnSp macro="">
      <xdr:nvCxnSpPr>
        <xdr:cNvPr id="19" name="Connecteur droit avec flèche 18">
          <a:extLst>
            <a:ext uri="{FF2B5EF4-FFF2-40B4-BE49-F238E27FC236}">
              <a16:creationId xmlns:a16="http://schemas.microsoft.com/office/drawing/2014/main" id="{D63F0C7D-FC9D-B341-21FA-F63D9FDB0460}"/>
            </a:ext>
          </a:extLst>
        </xdr:cNvPr>
        <xdr:cNvCxnSpPr>
          <a:stCxn id="5" idx="1"/>
          <a:endCxn id="2" idx="6"/>
        </xdr:cNvCxnSpPr>
      </xdr:nvCxnSpPr>
      <xdr:spPr>
        <a:xfrm flipH="1" flipV="1">
          <a:off x="5518150" y="539750"/>
          <a:ext cx="3116710" cy="22172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742950</xdr:colOff>
      <xdr:row>5</xdr:row>
      <xdr:rowOff>146050</xdr:rowOff>
    </xdr:from>
    <xdr:to>
      <xdr:col>11</xdr:col>
      <xdr:colOff>114300</xdr:colOff>
      <xdr:row>8</xdr:row>
      <xdr:rowOff>146050</xdr:rowOff>
    </xdr:to>
    <xdr:cxnSp macro="">
      <xdr:nvCxnSpPr>
        <xdr:cNvPr id="22" name="Connecteur droit avec flèche 21">
          <a:extLst>
            <a:ext uri="{FF2B5EF4-FFF2-40B4-BE49-F238E27FC236}">
              <a16:creationId xmlns:a16="http://schemas.microsoft.com/office/drawing/2014/main" id="{A2709308-3807-F6FE-1A30-7E3C43B34DAF}"/>
            </a:ext>
          </a:extLst>
        </xdr:cNvPr>
        <xdr:cNvCxnSpPr>
          <a:stCxn id="5" idx="2"/>
          <a:endCxn id="4" idx="6"/>
        </xdr:cNvCxnSpPr>
      </xdr:nvCxnSpPr>
      <xdr:spPr>
        <a:xfrm flipH="1">
          <a:off x="6838950" y="1066800"/>
          <a:ext cx="1657350" cy="5524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13840</xdr:colOff>
      <xdr:row>10</xdr:row>
      <xdr:rowOff>83079</xdr:rowOff>
    </xdr:from>
    <xdr:to>
      <xdr:col>7</xdr:col>
      <xdr:colOff>697360</xdr:colOff>
      <xdr:row>16</xdr:row>
      <xdr:rowOff>75671</xdr:rowOff>
    </xdr:to>
    <xdr:cxnSp macro="">
      <xdr:nvCxnSpPr>
        <xdr:cNvPr id="24" name="Connecteur droit avec flèche 23">
          <a:extLst>
            <a:ext uri="{FF2B5EF4-FFF2-40B4-BE49-F238E27FC236}">
              <a16:creationId xmlns:a16="http://schemas.microsoft.com/office/drawing/2014/main" id="{23CBDEB0-0957-0E1D-826A-23C36C0CC4CB}"/>
            </a:ext>
          </a:extLst>
        </xdr:cNvPr>
        <xdr:cNvCxnSpPr>
          <a:stCxn id="4" idx="3"/>
          <a:endCxn id="3" idx="7"/>
        </xdr:cNvCxnSpPr>
      </xdr:nvCxnSpPr>
      <xdr:spPr>
        <a:xfrm flipH="1">
          <a:off x="5347840" y="1924579"/>
          <a:ext cx="683520" cy="1097492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412750</xdr:colOff>
      <xdr:row>2</xdr:row>
      <xdr:rowOff>177800</xdr:rowOff>
    </xdr:from>
    <xdr:to>
      <xdr:col>0</xdr:col>
      <xdr:colOff>742950</xdr:colOff>
      <xdr:row>5</xdr:row>
      <xdr:rowOff>146050</xdr:rowOff>
    </xdr:to>
    <xdr:sp macro="" textlink="">
      <xdr:nvSpPr>
        <xdr:cNvPr id="2" name="Flèche : virage 1">
          <a:extLst>
            <a:ext uri="{FF2B5EF4-FFF2-40B4-BE49-F238E27FC236}">
              <a16:creationId xmlns:a16="http://schemas.microsoft.com/office/drawing/2014/main" id="{2F5628FA-A725-DFD6-68C0-865717CA9042}"/>
            </a:ext>
          </a:extLst>
        </xdr:cNvPr>
        <xdr:cNvSpPr/>
      </xdr:nvSpPr>
      <xdr:spPr>
        <a:xfrm>
          <a:off x="412750" y="546100"/>
          <a:ext cx="330200" cy="520700"/>
        </a:xfrm>
        <a:prstGeom prst="ben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0DA96-3E55-47AA-97D3-8C69B4EDCAC0}">
  <dimension ref="B3:U35"/>
  <sheetViews>
    <sheetView topLeftCell="B1" workbookViewId="0">
      <selection activeCell="U27" sqref="U27"/>
    </sheetView>
  </sheetViews>
  <sheetFormatPr baseColWidth="10" defaultRowHeight="14.5" x14ac:dyDescent="0.35"/>
  <cols>
    <col min="1" max="16384" width="10.90625" style="1"/>
  </cols>
  <sheetData>
    <row r="3" spans="2:21" x14ac:dyDescent="0.35">
      <c r="C3" s="1" t="s">
        <v>5</v>
      </c>
    </row>
    <row r="5" spans="2:21" x14ac:dyDescent="0.35">
      <c r="C5" s="1" t="s">
        <v>1</v>
      </c>
    </row>
    <row r="6" spans="2:21" x14ac:dyDescent="0.35">
      <c r="F6" s="1" t="s">
        <v>6</v>
      </c>
      <c r="G6" s="1" t="s">
        <v>9</v>
      </c>
    </row>
    <row r="7" spans="2:21" x14ac:dyDescent="0.35">
      <c r="B7" s="1" t="s">
        <v>8</v>
      </c>
      <c r="D7" s="1" t="s">
        <v>3</v>
      </c>
      <c r="E7" s="1" t="s">
        <v>7</v>
      </c>
    </row>
    <row r="9" spans="2:21" x14ac:dyDescent="0.35">
      <c r="C9" s="1" t="s">
        <v>2</v>
      </c>
    </row>
    <row r="10" spans="2:21" x14ac:dyDescent="0.35">
      <c r="D10" s="1" t="s">
        <v>4</v>
      </c>
    </row>
    <row r="13" spans="2:21" ht="15" thickBot="1" x14ac:dyDescent="0.4"/>
    <row r="14" spans="2:21" ht="15" thickBot="1" x14ac:dyDescent="0.4">
      <c r="B14" s="2">
        <v>0</v>
      </c>
      <c r="C14" s="3" t="s">
        <v>16</v>
      </c>
      <c r="E14" s="2">
        <v>0</v>
      </c>
      <c r="F14" s="3" t="s">
        <v>17</v>
      </c>
      <c r="H14" s="2">
        <v>4</v>
      </c>
      <c r="I14" s="3" t="s">
        <v>18</v>
      </c>
      <c r="K14" s="2">
        <v>3</v>
      </c>
      <c r="L14" s="3" t="s">
        <v>19</v>
      </c>
      <c r="N14" s="2">
        <v>0</v>
      </c>
      <c r="O14" s="3" t="s">
        <v>20</v>
      </c>
      <c r="Q14" s="2">
        <v>10</v>
      </c>
      <c r="R14" s="3" t="s">
        <v>21</v>
      </c>
      <c r="T14" s="2">
        <v>10</v>
      </c>
      <c r="U14" s="3" t="s">
        <v>22</v>
      </c>
    </row>
    <row r="15" spans="2:21" x14ac:dyDescent="0.35">
      <c r="B15" s="4" t="s">
        <v>10</v>
      </c>
      <c r="C15" s="5">
        <v>0</v>
      </c>
      <c r="E15" s="4" t="s">
        <v>10</v>
      </c>
      <c r="F15" s="5">
        <v>0</v>
      </c>
      <c r="H15" s="4" t="s">
        <v>11</v>
      </c>
      <c r="I15" s="5">
        <v>4</v>
      </c>
      <c r="K15" s="4" t="s">
        <v>12</v>
      </c>
      <c r="L15" s="5">
        <v>3</v>
      </c>
      <c r="N15" s="4" t="s">
        <v>10</v>
      </c>
      <c r="O15" s="5">
        <v>0</v>
      </c>
      <c r="Q15" s="4" t="s">
        <v>13</v>
      </c>
      <c r="R15" s="5">
        <v>6</v>
      </c>
      <c r="T15" s="4" t="s">
        <v>13</v>
      </c>
      <c r="U15" s="5">
        <v>6</v>
      </c>
    </row>
    <row r="16" spans="2:21" x14ac:dyDescent="0.35">
      <c r="B16" s="6"/>
      <c r="C16" s="7"/>
      <c r="E16" s="6"/>
      <c r="F16" s="7"/>
      <c r="H16" s="8" t="s">
        <v>12</v>
      </c>
      <c r="I16" s="7">
        <v>3</v>
      </c>
      <c r="K16" s="6"/>
      <c r="L16" s="7"/>
      <c r="N16" s="6"/>
      <c r="O16" s="7"/>
      <c r="Q16" s="8" t="s">
        <v>14</v>
      </c>
      <c r="R16" s="7">
        <v>2</v>
      </c>
      <c r="T16" s="6"/>
      <c r="U16" s="7"/>
    </row>
    <row r="17" spans="2:21" ht="15" thickBot="1" x14ac:dyDescent="0.4">
      <c r="B17" s="6"/>
      <c r="C17" s="7"/>
      <c r="E17" s="6"/>
      <c r="F17" s="7"/>
      <c r="H17" s="6"/>
      <c r="I17" s="7"/>
      <c r="K17" s="6"/>
      <c r="L17" s="7"/>
      <c r="N17" s="6"/>
      <c r="O17" s="7"/>
      <c r="Q17" s="8" t="s">
        <v>15</v>
      </c>
      <c r="R17" s="7">
        <v>8</v>
      </c>
      <c r="T17" s="6"/>
      <c r="U17" s="7"/>
    </row>
    <row r="18" spans="2:21" ht="15" thickBot="1" x14ac:dyDescent="0.4">
      <c r="B18" s="23">
        <v>1</v>
      </c>
      <c r="C18" s="24"/>
      <c r="E18" s="23">
        <v>1</v>
      </c>
      <c r="F18" s="24"/>
      <c r="H18" s="23">
        <v>3</v>
      </c>
      <c r="I18" s="24"/>
      <c r="K18" s="23">
        <v>2</v>
      </c>
      <c r="L18" s="24"/>
      <c r="N18" s="23">
        <v>1</v>
      </c>
      <c r="O18" s="24"/>
      <c r="Q18" s="23">
        <v>4</v>
      </c>
      <c r="R18" s="24"/>
      <c r="T18" s="23">
        <v>4</v>
      </c>
      <c r="U18" s="24"/>
    </row>
    <row r="24" spans="2:21" x14ac:dyDescent="0.35">
      <c r="E24" s="9"/>
      <c r="F24" s="10">
        <v>1</v>
      </c>
      <c r="H24" s="1" t="s">
        <v>26</v>
      </c>
      <c r="K24" s="9"/>
      <c r="L24" s="10">
        <v>2</v>
      </c>
      <c r="N24" s="1" t="s">
        <v>27</v>
      </c>
      <c r="P24" s="9"/>
      <c r="Q24" s="10">
        <v>3</v>
      </c>
    </row>
    <row r="25" spans="2:21" x14ac:dyDescent="0.35">
      <c r="C25" s="1" t="s">
        <v>23</v>
      </c>
      <c r="E25" s="11">
        <v>4</v>
      </c>
      <c r="F25" s="11">
        <v>4</v>
      </c>
      <c r="K25" s="11">
        <v>10</v>
      </c>
      <c r="L25" s="11">
        <v>10</v>
      </c>
      <c r="P25" s="11">
        <v>17</v>
      </c>
      <c r="Q25" s="11">
        <v>17</v>
      </c>
    </row>
    <row r="27" spans="2:21" x14ac:dyDescent="0.35">
      <c r="T27" s="9"/>
      <c r="U27" s="10">
        <v>4</v>
      </c>
    </row>
    <row r="28" spans="2:21" x14ac:dyDescent="0.35">
      <c r="B28" s="1" t="s">
        <v>8</v>
      </c>
      <c r="C28" s="1" t="s">
        <v>24</v>
      </c>
      <c r="T28" s="11">
        <v>17</v>
      </c>
      <c r="U28" s="11">
        <v>17</v>
      </c>
    </row>
    <row r="29" spans="2:21" x14ac:dyDescent="0.35">
      <c r="E29" s="9"/>
      <c r="F29" s="10"/>
      <c r="H29" s="1" t="s">
        <v>25</v>
      </c>
      <c r="I29" s="9"/>
      <c r="J29" s="10"/>
    </row>
    <row r="30" spans="2:21" x14ac:dyDescent="0.35">
      <c r="E30" s="11">
        <v>3</v>
      </c>
      <c r="F30" s="11"/>
      <c r="I30" s="11">
        <v>5</v>
      </c>
      <c r="J30" s="11"/>
      <c r="P30" s="9"/>
      <c r="Q30" s="10"/>
    </row>
    <row r="31" spans="2:21" x14ac:dyDescent="0.35">
      <c r="P31" s="11">
        <v>9</v>
      </c>
      <c r="Q31" s="11"/>
    </row>
    <row r="34" spans="3:11" x14ac:dyDescent="0.35">
      <c r="C34" s="1" t="s">
        <v>28</v>
      </c>
      <c r="E34" s="9"/>
      <c r="F34" s="10"/>
      <c r="K34" s="1" t="s">
        <v>29</v>
      </c>
    </row>
    <row r="35" spans="3:11" x14ac:dyDescent="0.35">
      <c r="E35" s="11">
        <v>8</v>
      </c>
      <c r="F35" s="11"/>
    </row>
  </sheetData>
  <mergeCells count="7">
    <mergeCell ref="Q18:R18"/>
    <mergeCell ref="T18:U18"/>
    <mergeCell ref="B18:C18"/>
    <mergeCell ref="E18:F18"/>
    <mergeCell ref="H18:I18"/>
    <mergeCell ref="K18:L18"/>
    <mergeCell ref="N18:O1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4B705-04A4-4B22-BCD3-C9535CCC5F56}">
  <dimension ref="A4:E21"/>
  <sheetViews>
    <sheetView workbookViewId="0">
      <selection activeCell="A21" sqref="A21"/>
    </sheetView>
  </sheetViews>
  <sheetFormatPr baseColWidth="10" defaultRowHeight="14.5" x14ac:dyDescent="0.35"/>
  <cols>
    <col min="1" max="16384" width="10.90625" style="1"/>
  </cols>
  <sheetData>
    <row r="4" spans="1:5" x14ac:dyDescent="0.35">
      <c r="A4" s="12"/>
      <c r="B4" s="12" t="s">
        <v>30</v>
      </c>
      <c r="C4" s="12" t="s">
        <v>31</v>
      </c>
      <c r="D4" s="12" t="s">
        <v>32</v>
      </c>
      <c r="E4" s="12" t="s">
        <v>33</v>
      </c>
    </row>
    <row r="5" spans="1:5" x14ac:dyDescent="0.35">
      <c r="A5" s="12" t="s">
        <v>30</v>
      </c>
      <c r="B5" s="12">
        <v>0</v>
      </c>
      <c r="C5" s="12">
        <v>1</v>
      </c>
      <c r="D5" s="12">
        <v>0</v>
      </c>
      <c r="E5" s="12">
        <v>1</v>
      </c>
    </row>
    <row r="6" spans="1:5" x14ac:dyDescent="0.35">
      <c r="A6" s="12" t="s">
        <v>31</v>
      </c>
      <c r="B6" s="12">
        <v>0</v>
      </c>
      <c r="C6" s="12"/>
      <c r="D6" s="12">
        <v>1</v>
      </c>
      <c r="E6" s="12"/>
    </row>
    <row r="7" spans="1:5" x14ac:dyDescent="0.35">
      <c r="A7" s="12" t="s">
        <v>32</v>
      </c>
      <c r="B7" s="12">
        <v>1</v>
      </c>
      <c r="C7" s="12">
        <v>0</v>
      </c>
      <c r="D7" s="12">
        <v>0</v>
      </c>
      <c r="E7" s="12">
        <v>1</v>
      </c>
    </row>
    <row r="8" spans="1:5" x14ac:dyDescent="0.35">
      <c r="A8" s="12" t="s">
        <v>33</v>
      </c>
      <c r="B8" s="12">
        <v>0</v>
      </c>
      <c r="C8" s="12">
        <v>1</v>
      </c>
      <c r="D8" s="12">
        <v>0</v>
      </c>
      <c r="E8" s="12">
        <v>0</v>
      </c>
    </row>
    <row r="16" spans="1:5" x14ac:dyDescent="0.35">
      <c r="A16" s="1" t="s">
        <v>50</v>
      </c>
    </row>
    <row r="17" spans="1:1" x14ac:dyDescent="0.35">
      <c r="A17" s="1" t="s">
        <v>51</v>
      </c>
    </row>
    <row r="19" spans="1:1" x14ac:dyDescent="0.35">
      <c r="A19" s="1" t="s">
        <v>52</v>
      </c>
    </row>
    <row r="21" spans="1:1" x14ac:dyDescent="0.35">
      <c r="A21" s="1" t="s">
        <v>34</v>
      </c>
    </row>
  </sheetData>
  <phoneticPr fontId="4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EB0AA-95CC-4DD9-BA76-18208AE73059}">
  <dimension ref="B4:J24"/>
  <sheetViews>
    <sheetView workbookViewId="0">
      <selection activeCell="L15" sqref="L15"/>
    </sheetView>
  </sheetViews>
  <sheetFormatPr baseColWidth="10" defaultRowHeight="14.5" x14ac:dyDescent="0.35"/>
  <cols>
    <col min="1" max="16384" width="10.90625" style="1"/>
  </cols>
  <sheetData>
    <row r="4" spans="2:10" x14ac:dyDescent="0.35">
      <c r="B4" s="12"/>
      <c r="C4" s="12" t="s">
        <v>35</v>
      </c>
      <c r="D4" s="12" t="s">
        <v>36</v>
      </c>
      <c r="E4" s="12" t="s">
        <v>37</v>
      </c>
      <c r="F4" s="12" t="s">
        <v>0</v>
      </c>
      <c r="G4" s="12" t="s">
        <v>38</v>
      </c>
      <c r="H4" s="12" t="s">
        <v>39</v>
      </c>
      <c r="I4" s="12" t="s">
        <v>40</v>
      </c>
      <c r="J4" s="12" t="s">
        <v>41</v>
      </c>
    </row>
    <row r="5" spans="2:10" x14ac:dyDescent="0.35">
      <c r="B5" s="12" t="s">
        <v>35</v>
      </c>
      <c r="C5" s="12"/>
      <c r="D5" s="12">
        <v>5</v>
      </c>
      <c r="E5" s="12"/>
      <c r="F5" s="12">
        <v>6</v>
      </c>
      <c r="G5" s="12"/>
      <c r="H5" s="12">
        <v>8</v>
      </c>
      <c r="I5" s="12"/>
      <c r="J5" s="12"/>
    </row>
    <row r="6" spans="2:10" x14ac:dyDescent="0.35">
      <c r="B6" s="12" t="s">
        <v>36</v>
      </c>
      <c r="C6" s="12">
        <v>5</v>
      </c>
      <c r="D6" s="12"/>
      <c r="E6" s="12">
        <v>6</v>
      </c>
      <c r="F6" s="12">
        <v>5</v>
      </c>
      <c r="G6" s="12">
        <v>10</v>
      </c>
      <c r="H6" s="12"/>
      <c r="I6" s="12"/>
      <c r="J6" s="12"/>
    </row>
    <row r="7" spans="2:10" x14ac:dyDescent="0.35">
      <c r="B7" s="12" t="s">
        <v>37</v>
      </c>
      <c r="C7" s="12"/>
      <c r="D7" s="12">
        <v>6</v>
      </c>
      <c r="E7" s="12"/>
      <c r="F7" s="12"/>
      <c r="G7" s="12">
        <v>14</v>
      </c>
      <c r="H7" s="12"/>
      <c r="I7" s="12"/>
      <c r="J7" s="12">
        <v>10</v>
      </c>
    </row>
    <row r="8" spans="2:10" x14ac:dyDescent="0.35">
      <c r="B8" s="12" t="s">
        <v>0</v>
      </c>
      <c r="C8" s="12">
        <v>6</v>
      </c>
      <c r="D8" s="12">
        <v>5</v>
      </c>
      <c r="E8" s="12"/>
      <c r="F8" s="12"/>
      <c r="G8" s="12">
        <v>8</v>
      </c>
      <c r="H8" s="12">
        <v>15</v>
      </c>
      <c r="I8" s="12">
        <v>6</v>
      </c>
      <c r="J8" s="12"/>
    </row>
    <row r="9" spans="2:10" x14ac:dyDescent="0.35">
      <c r="B9" s="12" t="s">
        <v>38</v>
      </c>
      <c r="C9" s="12"/>
      <c r="D9" s="12">
        <v>10</v>
      </c>
      <c r="E9" s="12">
        <v>14</v>
      </c>
      <c r="F9" s="12">
        <v>8</v>
      </c>
      <c r="G9" s="12"/>
      <c r="H9" s="12"/>
      <c r="I9" s="12">
        <v>10</v>
      </c>
      <c r="J9" s="12">
        <v>8</v>
      </c>
    </row>
    <row r="10" spans="2:10" x14ac:dyDescent="0.35">
      <c r="B10" s="12" t="s">
        <v>39</v>
      </c>
      <c r="C10" s="12">
        <v>8</v>
      </c>
      <c r="D10" s="12"/>
      <c r="E10" s="12"/>
      <c r="F10" s="12">
        <v>15</v>
      </c>
      <c r="G10" s="12"/>
      <c r="H10" s="12"/>
      <c r="I10" s="12">
        <v>12</v>
      </c>
      <c r="J10" s="12"/>
    </row>
    <row r="11" spans="2:10" x14ac:dyDescent="0.35">
      <c r="B11" s="12" t="s">
        <v>40</v>
      </c>
      <c r="C11" s="12">
        <v>0</v>
      </c>
      <c r="D11" s="12"/>
      <c r="E11" s="12"/>
      <c r="F11" s="12">
        <v>6</v>
      </c>
      <c r="G11" s="12">
        <v>10</v>
      </c>
      <c r="H11" s="12">
        <v>12</v>
      </c>
      <c r="I11" s="12"/>
      <c r="J11" s="12">
        <v>12</v>
      </c>
    </row>
    <row r="12" spans="2:10" x14ac:dyDescent="0.35">
      <c r="B12" s="12" t="s">
        <v>41</v>
      </c>
      <c r="C12" s="12"/>
      <c r="D12" s="12"/>
      <c r="E12" s="12">
        <v>10</v>
      </c>
      <c r="F12" s="12"/>
      <c r="G12" s="12">
        <v>8</v>
      </c>
      <c r="H12" s="12"/>
      <c r="I12" s="12">
        <v>12</v>
      </c>
      <c r="J12" s="12"/>
    </row>
    <row r="19" spans="4:8" x14ac:dyDescent="0.35">
      <c r="D19" s="16"/>
    </row>
    <row r="20" spans="4:8" x14ac:dyDescent="0.35">
      <c r="D20" s="16"/>
    </row>
    <row r="21" spans="4:8" x14ac:dyDescent="0.35">
      <c r="D21" s="16"/>
    </row>
    <row r="22" spans="4:8" x14ac:dyDescent="0.35">
      <c r="D22" s="16"/>
    </row>
    <row r="23" spans="4:8" x14ac:dyDescent="0.35">
      <c r="D23" s="16"/>
    </row>
    <row r="24" spans="4:8" x14ac:dyDescent="0.35">
      <c r="D24" s="16"/>
      <c r="H24" s="16"/>
    </row>
  </sheetData>
  <conditionalFormatting sqref="C5:J12">
    <cfRule type="cellIs" dxfId="0" priority="1" operator="equal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150EB-AFE2-4584-A9FD-138CAAC2EC39}">
  <dimension ref="B1:J50"/>
  <sheetViews>
    <sheetView tabSelected="1" topLeftCell="A19" workbookViewId="0">
      <selection activeCell="L25" sqref="L25"/>
    </sheetView>
  </sheetViews>
  <sheetFormatPr baseColWidth="10" defaultRowHeight="14.5" x14ac:dyDescent="0.35"/>
  <cols>
    <col min="1" max="16384" width="10.90625" style="1"/>
  </cols>
  <sheetData>
    <row r="1" spans="2:10" x14ac:dyDescent="0.35">
      <c r="F1" s="13"/>
      <c r="G1" s="13"/>
      <c r="H1" s="13"/>
    </row>
    <row r="2" spans="2:10" ht="26" x14ac:dyDescent="0.6">
      <c r="B2" s="20" t="s">
        <v>49</v>
      </c>
      <c r="F2" s="13"/>
      <c r="G2" s="13"/>
      <c r="H2" s="13"/>
    </row>
    <row r="3" spans="2:10" x14ac:dyDescent="0.35">
      <c r="F3" s="13"/>
      <c r="G3" s="13"/>
      <c r="H3" s="13"/>
      <c r="I3" s="14" t="s">
        <v>42</v>
      </c>
    </row>
    <row r="4" spans="2:10" ht="23.5" x14ac:dyDescent="0.55000000000000004">
      <c r="E4" s="19" t="s">
        <v>76</v>
      </c>
    </row>
    <row r="7" spans="2:10" x14ac:dyDescent="0.35">
      <c r="C7" s="13"/>
      <c r="D7" s="1" t="s">
        <v>67</v>
      </c>
      <c r="I7" s="13"/>
    </row>
    <row r="8" spans="2:10" x14ac:dyDescent="0.35">
      <c r="C8" s="13"/>
      <c r="D8" s="1" t="s">
        <v>68</v>
      </c>
      <c r="I8" s="13"/>
    </row>
    <row r="9" spans="2:10" x14ac:dyDescent="0.35">
      <c r="C9" s="13"/>
      <c r="D9" s="1" t="s">
        <v>69</v>
      </c>
      <c r="I9" s="13"/>
    </row>
    <row r="10" spans="2:10" x14ac:dyDescent="0.35">
      <c r="C10" s="13"/>
      <c r="D10" s="16" t="s">
        <v>70</v>
      </c>
      <c r="I10" s="13"/>
      <c r="J10" s="16"/>
    </row>
    <row r="11" spans="2:10" x14ac:dyDescent="0.35">
      <c r="C11" s="13"/>
      <c r="I11" s="13"/>
    </row>
    <row r="12" spans="2:10" x14ac:dyDescent="0.35">
      <c r="C12" s="13"/>
      <c r="I12" s="13"/>
    </row>
    <row r="14" spans="2:10" ht="23.5" x14ac:dyDescent="0.55000000000000004">
      <c r="E14" s="19" t="s">
        <v>77</v>
      </c>
    </row>
    <row r="18" spans="4:7" x14ac:dyDescent="0.35">
      <c r="D18" s="1" t="s">
        <v>53</v>
      </c>
      <c r="G18" s="1" t="s">
        <v>78</v>
      </c>
    </row>
    <row r="20" spans="4:7" x14ac:dyDescent="0.35">
      <c r="D20" s="1" t="s">
        <v>55</v>
      </c>
      <c r="G20" s="1" t="s">
        <v>71</v>
      </c>
    </row>
    <row r="21" spans="4:7" x14ac:dyDescent="0.35">
      <c r="D21" s="1" t="s">
        <v>56</v>
      </c>
      <c r="G21" s="1" t="s">
        <v>75</v>
      </c>
    </row>
    <row r="22" spans="4:7" x14ac:dyDescent="0.35">
      <c r="D22" s="1" t="s">
        <v>80</v>
      </c>
      <c r="G22" s="1" t="s">
        <v>72</v>
      </c>
    </row>
    <row r="23" spans="4:7" x14ac:dyDescent="0.35">
      <c r="D23" s="1" t="s">
        <v>61</v>
      </c>
      <c r="G23" s="1" t="s">
        <v>73</v>
      </c>
    </row>
    <row r="24" spans="4:7" x14ac:dyDescent="0.35">
      <c r="D24" s="1" t="s">
        <v>62</v>
      </c>
      <c r="G24" s="1" t="s">
        <v>74</v>
      </c>
    </row>
    <row r="29" spans="4:7" ht="23.5" x14ac:dyDescent="0.55000000000000004">
      <c r="E29" s="19" t="s">
        <v>79</v>
      </c>
    </row>
    <row r="33" spans="4:10" x14ac:dyDescent="0.35">
      <c r="F33" s="15" t="s">
        <v>63</v>
      </c>
      <c r="G33" s="15" t="s">
        <v>64</v>
      </c>
      <c r="H33" s="15" t="s">
        <v>65</v>
      </c>
      <c r="I33" s="15" t="s">
        <v>66</v>
      </c>
    </row>
    <row r="34" spans="4:10" x14ac:dyDescent="0.35">
      <c r="D34" s="1" t="s">
        <v>43</v>
      </c>
      <c r="F34" s="21">
        <v>625</v>
      </c>
      <c r="G34" s="21">
        <v>547.94520547945206</v>
      </c>
      <c r="H34" s="21">
        <v>1212.121212121212</v>
      </c>
      <c r="I34" s="21">
        <v>1250</v>
      </c>
    </row>
    <row r="35" spans="4:10" x14ac:dyDescent="0.35">
      <c r="F35" s="13"/>
      <c r="G35" s="13"/>
      <c r="H35" s="13"/>
      <c r="I35" s="13"/>
    </row>
    <row r="36" spans="4:10" x14ac:dyDescent="0.35">
      <c r="F36" s="15" t="str">
        <f>F33</f>
        <v>X1</v>
      </c>
      <c r="G36" s="15" t="str">
        <f>G33</f>
        <v>X2</v>
      </c>
      <c r="H36" s="15" t="str">
        <f>H33</f>
        <v>X3</v>
      </c>
      <c r="I36" s="15" t="str">
        <f>I33</f>
        <v>X4</v>
      </c>
    </row>
    <row r="37" spans="4:10" x14ac:dyDescent="0.35">
      <c r="D37" s="1" t="s">
        <v>44</v>
      </c>
      <c r="E37" s="1" t="s">
        <v>45</v>
      </c>
      <c r="F37" s="15">
        <v>1.6</v>
      </c>
      <c r="G37" s="15">
        <v>2</v>
      </c>
      <c r="H37" s="15">
        <v>1.8</v>
      </c>
      <c r="I37" s="15">
        <v>1.5</v>
      </c>
    </row>
    <row r="38" spans="4:10" x14ac:dyDescent="0.35">
      <c r="D38" s="1" t="s">
        <v>46</v>
      </c>
      <c r="E38" s="22">
        <f>(F37*F34)+(G37*G34)+(H37*H34)+(I37*I34)</f>
        <v>6152.7085927770859</v>
      </c>
      <c r="H38" s="13"/>
      <c r="I38" s="13"/>
    </row>
    <row r="42" spans="4:10" x14ac:dyDescent="0.35">
      <c r="G42" s="13"/>
      <c r="H42" s="13"/>
      <c r="I42" s="13"/>
    </row>
    <row r="43" spans="4:10" x14ac:dyDescent="0.35">
      <c r="E43" s="15" t="str">
        <f>F36</f>
        <v>X1</v>
      </c>
      <c r="F43" s="15" t="str">
        <f>G36</f>
        <v>X2</v>
      </c>
      <c r="G43" s="15" t="str">
        <f>H36</f>
        <v>X3</v>
      </c>
      <c r="H43" s="15" t="str">
        <f>I36</f>
        <v>X4</v>
      </c>
      <c r="I43" s="17" t="s">
        <v>47</v>
      </c>
      <c r="J43" s="18" t="s">
        <v>48</v>
      </c>
    </row>
    <row r="44" spans="4:10" x14ac:dyDescent="0.35">
      <c r="D44" s="1" t="s">
        <v>54</v>
      </c>
      <c r="E44" s="15">
        <v>0.8</v>
      </c>
      <c r="F44" s="15">
        <v>0.73</v>
      </c>
      <c r="G44" s="12">
        <v>0.66</v>
      </c>
      <c r="H44" s="12">
        <v>0.8</v>
      </c>
      <c r="I44" s="17">
        <f>(E44*F34)+(F44*G34)+(G44*H34)+(H44*I34)</f>
        <v>2700</v>
      </c>
      <c r="J44" s="18">
        <v>3400</v>
      </c>
    </row>
    <row r="45" spans="4:10" x14ac:dyDescent="0.35">
      <c r="D45" s="1" t="s">
        <v>57</v>
      </c>
      <c r="E45" s="15">
        <v>0.8</v>
      </c>
      <c r="F45" s="15"/>
      <c r="G45" s="12"/>
      <c r="H45" s="12"/>
      <c r="I45" s="17">
        <f>E45*F34</f>
        <v>500</v>
      </c>
      <c r="J45" s="18">
        <v>500</v>
      </c>
    </row>
    <row r="46" spans="4:10" x14ac:dyDescent="0.35">
      <c r="D46" s="1" t="s">
        <v>58</v>
      </c>
      <c r="E46" s="15"/>
      <c r="F46" s="15">
        <v>0.73</v>
      </c>
      <c r="G46" s="12"/>
      <c r="H46" s="12"/>
      <c r="I46" s="17">
        <f>F46*G34</f>
        <v>400</v>
      </c>
      <c r="J46" s="18">
        <v>400</v>
      </c>
    </row>
    <row r="47" spans="4:10" x14ac:dyDescent="0.35">
      <c r="D47" s="1" t="s">
        <v>59</v>
      </c>
      <c r="E47" s="15"/>
      <c r="F47" s="15"/>
      <c r="G47" s="12">
        <v>0.66</v>
      </c>
      <c r="H47" s="12"/>
      <c r="I47" s="17">
        <f>G47*H34</f>
        <v>800</v>
      </c>
      <c r="J47" s="18">
        <v>800</v>
      </c>
    </row>
    <row r="48" spans="4:10" x14ac:dyDescent="0.35">
      <c r="D48" s="1" t="s">
        <v>60</v>
      </c>
      <c r="E48" s="15"/>
      <c r="F48" s="15"/>
      <c r="G48" s="12"/>
      <c r="H48" s="12">
        <v>0.8</v>
      </c>
      <c r="I48" s="17">
        <f>H48*I34</f>
        <v>1000</v>
      </c>
      <c r="J48" s="18">
        <v>1000</v>
      </c>
    </row>
    <row r="49" spans="7:9" x14ac:dyDescent="0.35">
      <c r="G49" s="13"/>
      <c r="H49" s="13"/>
      <c r="I49" s="13"/>
    </row>
    <row r="50" spans="7:9" x14ac:dyDescent="0.35">
      <c r="G50" s="13"/>
      <c r="H50" s="13"/>
      <c r="I50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Exercice 1</vt:lpstr>
      <vt:lpstr>Exercice 2</vt:lpstr>
      <vt:lpstr>Exercice 3</vt:lpstr>
      <vt:lpstr>Exercice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Sylvain Torrenti</dc:creator>
  <cp:lastModifiedBy>Sylvain Torrenti</cp:lastModifiedBy>
  <dcterms:created xsi:type="dcterms:W3CDTF">2025-03-17T07:25:07Z</dcterms:created>
  <dcterms:modified xsi:type="dcterms:W3CDTF">2025-03-18T07:46:34Z</dcterms:modified>
</cp:coreProperties>
</file>