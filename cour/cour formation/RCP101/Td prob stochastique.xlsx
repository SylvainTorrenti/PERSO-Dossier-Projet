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RCP101\"/>
    </mc:Choice>
  </mc:AlternateContent>
  <xr:revisionPtr revIDLastSave="0" documentId="13_ncr:1_{3B7E24A4-FD5F-4120-B738-8FCDB76A3ED2}" xr6:coauthVersionLast="47" xr6:coauthVersionMax="47" xr10:uidLastSave="{00000000-0000-0000-0000-000000000000}"/>
  <bookViews>
    <workbookView xWindow="-110" yWindow="-110" windowWidth="25820" windowHeight="15500" activeTab="3" xr2:uid="{98DD8F82-0120-4C20-A0E4-67084F7C29C0}"/>
  </bookViews>
  <sheets>
    <sheet name="exercice 1" sheetId="1" r:id="rId1"/>
    <sheet name="exercice 2" sheetId="2" r:id="rId2"/>
    <sheet name="exercice 3" sheetId="3" r:id="rId3"/>
    <sheet name="Exercice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 a="1"/>
  <c r="I6" i="4" s="1"/>
  <c r="I7" i="4" s="1" a="1"/>
  <c r="I7" i="4" s="1"/>
  <c r="I8" i="4" s="1" a="1"/>
  <c r="I8" i="4" s="1"/>
  <c r="I9" i="4" s="1" a="1"/>
  <c r="I9" i="4" s="1"/>
  <c r="I10" i="4" s="1" a="1"/>
  <c r="I10" i="4" s="1"/>
  <c r="I11" i="4" s="1" a="1"/>
  <c r="I11" i="4" s="1"/>
  <c r="I12" i="4" s="1" a="1"/>
  <c r="I12" i="4" s="1"/>
  <c r="I13" i="4" s="1" a="1"/>
  <c r="I13" i="4" s="1"/>
  <c r="I14" i="4" s="1" a="1"/>
  <c r="I14" i="4" s="1"/>
  <c r="I5" i="4" a="1"/>
  <c r="I5" i="4" s="1"/>
  <c r="L13" i="3" a="1"/>
  <c r="L13" i="3"/>
  <c r="L14" i="3" s="1" a="1"/>
  <c r="L14" i="3" s="1"/>
  <c r="L15" i="3" s="1" a="1"/>
  <c r="L15" i="3" s="1"/>
  <c r="L16" i="3" s="1" a="1"/>
  <c r="L16" i="3" s="1"/>
  <c r="L7" i="3" a="1"/>
  <c r="L7" i="3"/>
  <c r="F9" i="3"/>
  <c r="E9" i="3"/>
  <c r="C9" i="3"/>
  <c r="D9" i="3"/>
  <c r="G7" i="3"/>
  <c r="C7" i="3"/>
  <c r="G6" i="3"/>
  <c r="C6" i="3"/>
  <c r="G5" i="3"/>
  <c r="E5" i="3"/>
  <c r="D5" i="3"/>
  <c r="K21" i="2"/>
  <c r="R25" i="2"/>
  <c r="R25" i="2" a="1"/>
  <c r="T23" i="2"/>
  <c r="S23" i="2"/>
  <c r="R23" i="2"/>
  <c r="K12" i="2"/>
  <c r="X16" i="2" a="1"/>
  <c r="X16" i="2" s="1"/>
  <c r="R16" i="2" a="1"/>
  <c r="R16" i="2" s="1"/>
  <c r="K2" i="2"/>
  <c r="X6" i="2" a="1"/>
  <c r="X6" i="2" s="1"/>
  <c r="R6" i="2" a="1"/>
  <c r="R6" i="2" s="1"/>
  <c r="L25" i="2" a="1"/>
  <c r="L25" i="2" s="1"/>
  <c r="L16" i="2" a="1"/>
  <c r="L16" i="2" s="1"/>
  <c r="N4" i="2"/>
  <c r="N23" i="2" s="1"/>
  <c r="M4" i="2"/>
  <c r="M23" i="2" s="1"/>
  <c r="L4" i="2"/>
  <c r="L23" i="2" s="1"/>
  <c r="B7" i="2"/>
  <c r="B6" i="2"/>
  <c r="B5" i="2"/>
  <c r="L6" i="2" a="1"/>
  <c r="L6" i="2" s="1"/>
  <c r="L7" i="1" a="1"/>
  <c r="L7" i="1"/>
  <c r="L8" i="1" a="1"/>
  <c r="L8" i="1"/>
  <c r="L9" i="1" a="1"/>
  <c r="L9" i="1"/>
  <c r="L6" i="1" a="1"/>
  <c r="L6" i="1" s="1"/>
  <c r="L12" i="3" l="1" a="1"/>
  <c r="L12" i="3" s="1"/>
  <c r="L6" i="3" a="1"/>
  <c r="L6" i="3" s="1"/>
  <c r="L14" i="2"/>
  <c r="M14" i="2"/>
  <c r="N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<sst xmlns="http://schemas.openxmlformats.org/spreadsheetml/2006/main" count="133" uniqueCount="43">
  <si>
    <t>etat</t>
  </si>
  <si>
    <t>E1</t>
  </si>
  <si>
    <t>E2</t>
  </si>
  <si>
    <t>E3</t>
  </si>
  <si>
    <t>E = {E1,E2,E3}</t>
  </si>
  <si>
    <t>t=0</t>
  </si>
  <si>
    <r>
      <t>D</t>
    </r>
    <r>
      <rPr>
        <vertAlign val="subscript"/>
        <sz val="11"/>
        <color theme="1"/>
        <rFont val="Aptos Narrow"/>
        <family val="2"/>
        <scheme val="minor"/>
      </rPr>
      <t>0</t>
    </r>
  </si>
  <si>
    <t>t=1</t>
  </si>
  <si>
    <t>t=2</t>
  </si>
  <si>
    <t>t=3</t>
  </si>
  <si>
    <t>t=4</t>
  </si>
  <si>
    <t>t=5</t>
  </si>
  <si>
    <r>
      <t>D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/>
    </r>
  </si>
  <si>
    <r>
      <t>D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/>
    </r>
  </si>
  <si>
    <r>
      <t>D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/>
    </r>
  </si>
  <si>
    <r>
      <t>D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/>
    </r>
  </si>
  <si>
    <t>h</t>
  </si>
  <si>
    <t>a</t>
  </si>
  <si>
    <t>f</t>
  </si>
  <si>
    <t>E = {h,a,f}</t>
  </si>
  <si>
    <t>h,a,f,h</t>
  </si>
  <si>
    <t>h,a,f,a</t>
  </si>
  <si>
    <t>a,a,a</t>
  </si>
  <si>
    <t>2/ 50% 45% 5%</t>
  </si>
  <si>
    <t>A</t>
  </si>
  <si>
    <t>B</t>
  </si>
  <si>
    <t>C</t>
  </si>
  <si>
    <t>D</t>
  </si>
  <si>
    <t>S</t>
  </si>
  <si>
    <r>
      <t>D</t>
    </r>
    <r>
      <rPr>
        <vertAlign val="sub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/>
    </r>
  </si>
  <si>
    <t>B : Pluie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</si>
  <si>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</si>
  <si>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</si>
  <si>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</si>
  <si>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</si>
  <si>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</si>
  <si>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</si>
  <si>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</si>
  <si>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</si>
  <si>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</si>
  <si>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</si>
  <si>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</si>
  <si>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A : Beau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</si>
</sst>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9" fontId="0" fillId="2" borderId="0" xfId="0" applyNumberFormat="1" applyFill="1"/>
    <xf numFmtId="0" fontId="0" fillId="4" borderId="1" xfId="0" applyFill="1" applyBorder="1"/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</xdr:colOff>
      <xdr:row>13</xdr:row>
      <xdr:rowOff>0</xdr:rowOff>
    </xdr:from>
    <xdr:to>
      <xdr:col>2</xdr:col>
      <xdr:colOff>698500</xdr:colOff>
      <xdr:row>16</xdr:row>
      <xdr:rowOff>38100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40B884DA-574B-3DB6-8B65-BE1A4F9BB436}"/>
            </a:ext>
          </a:extLst>
        </xdr:cNvPr>
        <xdr:cNvSpPr/>
      </xdr:nvSpPr>
      <xdr:spPr>
        <a:xfrm>
          <a:off x="1568450" y="2762250"/>
          <a:ext cx="654050" cy="590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E1</a:t>
          </a:r>
        </a:p>
      </xdr:txBody>
    </xdr:sp>
    <xdr:clientData/>
  </xdr:twoCellAnchor>
  <xdr:twoCellAnchor>
    <xdr:from>
      <xdr:col>3</xdr:col>
      <xdr:colOff>609600</xdr:colOff>
      <xdr:row>13</xdr:row>
      <xdr:rowOff>19050</xdr:rowOff>
    </xdr:from>
    <xdr:to>
      <xdr:col>4</xdr:col>
      <xdr:colOff>501650</xdr:colOff>
      <xdr:row>16</xdr:row>
      <xdr:rowOff>57150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D7E0FD8E-62D6-4689-886D-12C7FDB88A62}"/>
            </a:ext>
          </a:extLst>
        </xdr:cNvPr>
        <xdr:cNvSpPr/>
      </xdr:nvSpPr>
      <xdr:spPr>
        <a:xfrm>
          <a:off x="2895600" y="2781300"/>
          <a:ext cx="654050" cy="590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E2</a:t>
          </a:r>
        </a:p>
      </xdr:txBody>
    </xdr:sp>
    <xdr:clientData/>
  </xdr:twoCellAnchor>
  <xdr:twoCellAnchor>
    <xdr:from>
      <xdr:col>5</xdr:col>
      <xdr:colOff>495300</xdr:colOff>
      <xdr:row>13</xdr:row>
      <xdr:rowOff>31750</xdr:rowOff>
    </xdr:from>
    <xdr:to>
      <xdr:col>6</xdr:col>
      <xdr:colOff>387350</xdr:colOff>
      <xdr:row>16</xdr:row>
      <xdr:rowOff>69850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C200701E-DFF8-4A3F-8178-50B5A834B317}"/>
            </a:ext>
          </a:extLst>
        </xdr:cNvPr>
        <xdr:cNvSpPr/>
      </xdr:nvSpPr>
      <xdr:spPr>
        <a:xfrm>
          <a:off x="4305300" y="2794000"/>
          <a:ext cx="654050" cy="590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E3</a:t>
          </a:r>
        </a:p>
      </xdr:txBody>
    </xdr:sp>
    <xdr:clientData/>
  </xdr:twoCellAnchor>
  <xdr:twoCellAnchor>
    <xdr:from>
      <xdr:col>2</xdr:col>
      <xdr:colOff>371475</xdr:colOff>
      <xdr:row>13</xdr:row>
      <xdr:rowOff>19050</xdr:rowOff>
    </xdr:from>
    <xdr:to>
      <xdr:col>4</xdr:col>
      <xdr:colOff>174625</xdr:colOff>
      <xdr:row>13</xdr:row>
      <xdr:rowOff>38100</xdr:rowOff>
    </xdr:to>
    <xdr:cxnSp macro="">
      <xdr:nvCxnSpPr>
        <xdr:cNvPr id="7" name="Connecteur : en angle 6">
          <a:extLst>
            <a:ext uri="{FF2B5EF4-FFF2-40B4-BE49-F238E27FC236}">
              <a16:creationId xmlns:a16="http://schemas.microsoft.com/office/drawing/2014/main" id="{A1C41946-163F-7431-D07D-550A42CC2080}"/>
            </a:ext>
          </a:extLst>
        </xdr:cNvPr>
        <xdr:cNvCxnSpPr/>
      </xdr:nvCxnSpPr>
      <xdr:spPr>
        <a:xfrm rot="16200000" flipV="1">
          <a:off x="2549525" y="2127250"/>
          <a:ext cx="19050" cy="1327150"/>
        </a:xfrm>
        <a:prstGeom prst="bentConnector3">
          <a:avLst>
            <a:gd name="adj1" fmla="val 37333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44450</xdr:colOff>
      <xdr:row>14</xdr:row>
      <xdr:rowOff>111126</xdr:rowOff>
    </xdr:from>
    <xdr:to>
      <xdr:col>2</xdr:col>
      <xdr:colOff>371475</xdr:colOff>
      <xdr:row>16</xdr:row>
      <xdr:rowOff>38101</xdr:rowOff>
    </xdr:to>
    <xdr:cxnSp macro="">
      <xdr:nvCxnSpPr>
        <xdr:cNvPr id="11" name="Connecteur : en angle 10">
          <a:extLst>
            <a:ext uri="{FF2B5EF4-FFF2-40B4-BE49-F238E27FC236}">
              <a16:creationId xmlns:a16="http://schemas.microsoft.com/office/drawing/2014/main" id="{4D44C65E-AD36-3B00-4222-0DFE23F461D4}"/>
            </a:ext>
          </a:extLst>
        </xdr:cNvPr>
        <xdr:cNvCxnSpPr>
          <a:stCxn id="2" idx="4"/>
          <a:endCxn id="2" idx="2"/>
        </xdr:cNvCxnSpPr>
      </xdr:nvCxnSpPr>
      <xdr:spPr>
        <a:xfrm rot="5400000" flipH="1">
          <a:off x="1584325" y="3041651"/>
          <a:ext cx="295275" cy="327025"/>
        </a:xfrm>
        <a:prstGeom prst="bentConnector4">
          <a:avLst>
            <a:gd name="adj1" fmla="val -77419"/>
            <a:gd name="adj2" fmla="val 16990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635000</xdr:colOff>
      <xdr:row>16</xdr:row>
      <xdr:rowOff>44450</xdr:rowOff>
    </xdr:from>
    <xdr:ext cx="364395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C6B46D5-5BB1-73FE-21F0-9384A0A7E12C}"/>
            </a:ext>
          </a:extLst>
        </xdr:cNvPr>
        <xdr:cNvSpPr txBox="1"/>
      </xdr:nvSpPr>
      <xdr:spPr>
        <a:xfrm>
          <a:off x="1397000" y="33591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0,4</a:t>
          </a:r>
        </a:p>
      </xdr:txBody>
    </xdr:sp>
    <xdr:clientData/>
  </xdr:oneCellAnchor>
  <xdr:oneCellAnchor>
    <xdr:from>
      <xdr:col>3</xdr:col>
      <xdr:colOff>228600</xdr:colOff>
      <xdr:row>9</xdr:row>
      <xdr:rowOff>0</xdr:rowOff>
    </xdr:from>
    <xdr:ext cx="364395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C0CCC4F5-75CC-90EC-EDF4-34126DB529A8}"/>
            </a:ext>
          </a:extLst>
        </xdr:cNvPr>
        <xdr:cNvSpPr txBox="1"/>
      </xdr:nvSpPr>
      <xdr:spPr>
        <a:xfrm>
          <a:off x="2514600" y="17970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0,2</a:t>
          </a:r>
        </a:p>
      </xdr:txBody>
    </xdr:sp>
    <xdr:clientData/>
  </xdr:oneCellAnchor>
  <xdr:twoCellAnchor>
    <xdr:from>
      <xdr:col>2</xdr:col>
      <xdr:colOff>602717</xdr:colOff>
      <xdr:row>15</xdr:row>
      <xdr:rowOff>135766</xdr:rowOff>
    </xdr:from>
    <xdr:to>
      <xdr:col>3</xdr:col>
      <xdr:colOff>705383</xdr:colOff>
      <xdr:row>15</xdr:row>
      <xdr:rowOff>154816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196660D3-61D3-E9DB-CB15-F39CE761D8E2}"/>
            </a:ext>
          </a:extLst>
        </xdr:cNvPr>
        <xdr:cNvCxnSpPr>
          <a:stCxn id="2" idx="5"/>
          <a:endCxn id="4" idx="3"/>
        </xdr:cNvCxnSpPr>
      </xdr:nvCxnSpPr>
      <xdr:spPr>
        <a:xfrm>
          <a:off x="2126717" y="3266316"/>
          <a:ext cx="864666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63500</xdr:colOff>
      <xdr:row>15</xdr:row>
      <xdr:rowOff>127000</xdr:rowOff>
    </xdr:from>
    <xdr:ext cx="364395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22BFA2C2-7F5D-17B7-7F78-8097C5D6AF29}"/>
            </a:ext>
          </a:extLst>
        </xdr:cNvPr>
        <xdr:cNvSpPr txBox="1"/>
      </xdr:nvSpPr>
      <xdr:spPr>
        <a:xfrm>
          <a:off x="2349500" y="32575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0,6</a:t>
          </a:r>
        </a:p>
      </xdr:txBody>
    </xdr:sp>
    <xdr:clientData/>
  </xdr:oneCellAnchor>
  <xdr:twoCellAnchor>
    <xdr:from>
      <xdr:col>4</xdr:col>
      <xdr:colOff>174625</xdr:colOff>
      <xdr:row>15</xdr:row>
      <xdr:rowOff>154816</xdr:rowOff>
    </xdr:from>
    <xdr:to>
      <xdr:col>4</xdr:col>
      <xdr:colOff>405867</xdr:colOff>
      <xdr:row>16</xdr:row>
      <xdr:rowOff>57150</xdr:rowOff>
    </xdr:to>
    <xdr:cxnSp macro="">
      <xdr:nvCxnSpPr>
        <xdr:cNvPr id="19" name="Connecteur : en angle 18">
          <a:extLst>
            <a:ext uri="{FF2B5EF4-FFF2-40B4-BE49-F238E27FC236}">
              <a16:creationId xmlns:a16="http://schemas.microsoft.com/office/drawing/2014/main" id="{5D789280-4F04-54C4-F0AE-2CF6DC31865A}"/>
            </a:ext>
          </a:extLst>
        </xdr:cNvPr>
        <xdr:cNvCxnSpPr>
          <a:stCxn id="4" idx="5"/>
          <a:endCxn id="4" idx="4"/>
        </xdr:cNvCxnSpPr>
      </xdr:nvCxnSpPr>
      <xdr:spPr>
        <a:xfrm rot="5400000">
          <a:off x="3295004" y="3212987"/>
          <a:ext cx="86484" cy="231242"/>
        </a:xfrm>
        <a:prstGeom prst="bentConnector3">
          <a:avLst>
            <a:gd name="adj1" fmla="val 36432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88900</xdr:colOff>
      <xdr:row>17</xdr:row>
      <xdr:rowOff>76200</xdr:rowOff>
    </xdr:from>
    <xdr:ext cx="364395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986EFE17-7E93-7C64-64D4-3DA5C20A4DE6}"/>
            </a:ext>
          </a:extLst>
        </xdr:cNvPr>
        <xdr:cNvSpPr txBox="1"/>
      </xdr:nvSpPr>
      <xdr:spPr>
        <a:xfrm>
          <a:off x="3136900" y="35750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0,5</a:t>
          </a:r>
        </a:p>
      </xdr:txBody>
    </xdr:sp>
    <xdr:clientData/>
  </xdr:oneCellAnchor>
  <xdr:twoCellAnchor>
    <xdr:from>
      <xdr:col>4</xdr:col>
      <xdr:colOff>501650</xdr:colOff>
      <xdr:row>14</xdr:row>
      <xdr:rowOff>130175</xdr:rowOff>
    </xdr:from>
    <xdr:to>
      <xdr:col>5</xdr:col>
      <xdr:colOff>495300</xdr:colOff>
      <xdr:row>14</xdr:row>
      <xdr:rowOff>142875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3695B83E-E062-0EC2-0DBB-F0D46EF76B20}"/>
            </a:ext>
          </a:extLst>
        </xdr:cNvPr>
        <xdr:cNvCxnSpPr>
          <a:stCxn id="4" idx="6"/>
          <a:endCxn id="5" idx="2"/>
        </xdr:cNvCxnSpPr>
      </xdr:nvCxnSpPr>
      <xdr:spPr>
        <a:xfrm>
          <a:off x="3549650" y="3076575"/>
          <a:ext cx="7556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704850</xdr:colOff>
      <xdr:row>14</xdr:row>
      <xdr:rowOff>107950</xdr:rowOff>
    </xdr:from>
    <xdr:ext cx="364395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80CB380F-B651-BE5F-F0F2-EC30055CF6A9}"/>
            </a:ext>
          </a:extLst>
        </xdr:cNvPr>
        <xdr:cNvSpPr txBox="1"/>
      </xdr:nvSpPr>
      <xdr:spPr>
        <a:xfrm>
          <a:off x="3752850" y="30543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0,3</a:t>
          </a:r>
        </a:p>
      </xdr:txBody>
    </xdr:sp>
    <xdr:clientData/>
  </xdr:oneCellAnchor>
  <xdr:twoCellAnchor>
    <xdr:from>
      <xdr:col>6</xdr:col>
      <xdr:colOff>291567</xdr:colOff>
      <xdr:row>14</xdr:row>
      <xdr:rowOff>142875</xdr:rowOff>
    </xdr:from>
    <xdr:to>
      <xdr:col>6</xdr:col>
      <xdr:colOff>387350</xdr:colOff>
      <xdr:row>15</xdr:row>
      <xdr:rowOff>167516</xdr:rowOff>
    </xdr:to>
    <xdr:cxnSp macro="">
      <xdr:nvCxnSpPr>
        <xdr:cNvPr id="27" name="Connecteur : en angle 26">
          <a:extLst>
            <a:ext uri="{FF2B5EF4-FFF2-40B4-BE49-F238E27FC236}">
              <a16:creationId xmlns:a16="http://schemas.microsoft.com/office/drawing/2014/main" id="{E96F6FE8-387B-CDFE-E977-A17371BC5F73}"/>
            </a:ext>
          </a:extLst>
        </xdr:cNvPr>
        <xdr:cNvCxnSpPr>
          <a:stCxn id="5" idx="6"/>
          <a:endCxn id="5" idx="5"/>
        </xdr:cNvCxnSpPr>
      </xdr:nvCxnSpPr>
      <xdr:spPr>
        <a:xfrm flipH="1">
          <a:off x="4863567" y="3089275"/>
          <a:ext cx="95783" cy="208791"/>
        </a:xfrm>
        <a:prstGeom prst="bentConnector4">
          <a:avLst>
            <a:gd name="adj1" fmla="val -238664"/>
            <a:gd name="adj2" fmla="val 25090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279400</xdr:colOff>
      <xdr:row>17</xdr:row>
      <xdr:rowOff>82550</xdr:rowOff>
    </xdr:from>
    <xdr:ext cx="364395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EA26EA4F-BB60-66C3-92A3-1EBB4E5256CF}"/>
            </a:ext>
          </a:extLst>
        </xdr:cNvPr>
        <xdr:cNvSpPr txBox="1"/>
      </xdr:nvSpPr>
      <xdr:spPr>
        <a:xfrm>
          <a:off x="4851400" y="358140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0,6</a:t>
          </a:r>
        </a:p>
      </xdr:txBody>
    </xdr:sp>
    <xdr:clientData/>
  </xdr:oneCellAnchor>
  <xdr:twoCellAnchor>
    <xdr:from>
      <xdr:col>4</xdr:col>
      <xdr:colOff>405867</xdr:colOff>
      <xdr:row>13</xdr:row>
      <xdr:rowOff>31750</xdr:rowOff>
    </xdr:from>
    <xdr:to>
      <xdr:col>6</xdr:col>
      <xdr:colOff>60325</xdr:colOff>
      <xdr:row>13</xdr:row>
      <xdr:rowOff>105534</xdr:rowOff>
    </xdr:to>
    <xdr:cxnSp macro="">
      <xdr:nvCxnSpPr>
        <xdr:cNvPr id="30" name="Connecteur : en angle 29">
          <a:extLst>
            <a:ext uri="{FF2B5EF4-FFF2-40B4-BE49-F238E27FC236}">
              <a16:creationId xmlns:a16="http://schemas.microsoft.com/office/drawing/2014/main" id="{F2EA1032-54EA-49C5-A1F9-D8A395FF0227}"/>
            </a:ext>
          </a:extLst>
        </xdr:cNvPr>
        <xdr:cNvCxnSpPr>
          <a:stCxn id="5" idx="0"/>
          <a:endCxn id="4" idx="7"/>
        </xdr:cNvCxnSpPr>
      </xdr:nvCxnSpPr>
      <xdr:spPr>
        <a:xfrm rot="16200000" flipH="1" flipV="1">
          <a:off x="4006204" y="2241663"/>
          <a:ext cx="73784" cy="1178458"/>
        </a:xfrm>
        <a:prstGeom prst="bentConnector3">
          <a:avLst>
            <a:gd name="adj1" fmla="val -93807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152400</xdr:colOff>
      <xdr:row>9</xdr:row>
      <xdr:rowOff>0</xdr:rowOff>
    </xdr:from>
    <xdr:ext cx="364395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4F3E8632-1D24-B07F-3DA9-6239DD213C41}"/>
            </a:ext>
          </a:extLst>
        </xdr:cNvPr>
        <xdr:cNvSpPr txBox="1"/>
      </xdr:nvSpPr>
      <xdr:spPr>
        <a:xfrm>
          <a:off x="3962400" y="186690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0DBA-C3D0-4B27-A96D-672E05C55C3B}">
  <dimension ref="B4:N9"/>
  <sheetViews>
    <sheetView workbookViewId="0">
      <selection activeCell="N14" sqref="N14"/>
    </sheetView>
  </sheetViews>
  <sheetFormatPr baseColWidth="10" defaultRowHeight="14.5" x14ac:dyDescent="0.35"/>
  <cols>
    <col min="1" max="16384" width="10.90625" style="1"/>
  </cols>
  <sheetData>
    <row r="4" spans="2:14" x14ac:dyDescent="0.35">
      <c r="B4" s="1" t="s">
        <v>0</v>
      </c>
      <c r="C4" s="1" t="s">
        <v>1</v>
      </c>
      <c r="D4" s="1" t="s">
        <v>2</v>
      </c>
      <c r="E4" s="1" t="s">
        <v>3</v>
      </c>
      <c r="L4" s="3" t="s">
        <v>1</v>
      </c>
      <c r="M4" s="3" t="s">
        <v>2</v>
      </c>
      <c r="N4" s="3" t="s">
        <v>3</v>
      </c>
    </row>
    <row r="5" spans="2:14" ht="16.5" x14ac:dyDescent="0.45">
      <c r="B5" s="1" t="s">
        <v>1</v>
      </c>
      <c r="C5" s="2">
        <v>0.4</v>
      </c>
      <c r="D5" s="2">
        <v>0.6</v>
      </c>
      <c r="E5" s="2">
        <v>0</v>
      </c>
      <c r="H5" s="1" t="s">
        <v>4</v>
      </c>
      <c r="J5" s="3" t="s">
        <v>5</v>
      </c>
      <c r="K5" s="3" t="s">
        <v>6</v>
      </c>
      <c r="L5" s="2">
        <v>0</v>
      </c>
      <c r="M5" s="2">
        <v>1</v>
      </c>
      <c r="N5" s="2">
        <v>0</v>
      </c>
    </row>
    <row r="6" spans="2:14" ht="16.5" x14ac:dyDescent="0.45">
      <c r="B6" s="1" t="s">
        <v>2</v>
      </c>
      <c r="C6" s="2">
        <v>0.2</v>
      </c>
      <c r="D6" s="2">
        <v>0.5</v>
      </c>
      <c r="E6" s="2">
        <v>0.3</v>
      </c>
      <c r="J6" s="3" t="s">
        <v>7</v>
      </c>
      <c r="K6" s="3" t="s">
        <v>12</v>
      </c>
      <c r="L6" s="2" cm="1">
        <f t="array" ref="L6:N6">MMULT(L5:N5,$C$5:$E$7)</f>
        <v>0.2</v>
      </c>
      <c r="M6" s="2">
        <v>0.5</v>
      </c>
      <c r="N6" s="2">
        <v>0.3</v>
      </c>
    </row>
    <row r="7" spans="2:14" ht="16.5" x14ac:dyDescent="0.45">
      <c r="B7" s="1" t="s">
        <v>3</v>
      </c>
      <c r="C7" s="2">
        <v>0</v>
      </c>
      <c r="D7" s="2">
        <v>0.4</v>
      </c>
      <c r="E7" s="2">
        <v>0.6</v>
      </c>
      <c r="J7" s="3" t="s">
        <v>8</v>
      </c>
      <c r="K7" s="3" t="s">
        <v>13</v>
      </c>
      <c r="L7" s="2" cm="1">
        <f t="array" ref="L7:N7">MMULT(L6:N6,$C$5:$E$7)</f>
        <v>0.18000000000000002</v>
      </c>
      <c r="M7" s="2">
        <v>0.49</v>
      </c>
      <c r="N7" s="2">
        <v>0.32999999999999996</v>
      </c>
    </row>
    <row r="8" spans="2:14" ht="16.5" x14ac:dyDescent="0.45">
      <c r="J8" s="3" t="s">
        <v>9</v>
      </c>
      <c r="K8" s="3" t="s">
        <v>14</v>
      </c>
      <c r="L8" s="2" cm="1">
        <f t="array" ref="L8:N8">MMULT(L7:N7,$C$5:$E$7)</f>
        <v>0.17</v>
      </c>
      <c r="M8" s="2">
        <v>0.48499999999999999</v>
      </c>
      <c r="N8" s="2">
        <v>0.34499999999999997</v>
      </c>
    </row>
    <row r="9" spans="2:14" ht="16.5" x14ac:dyDescent="0.45">
      <c r="J9" s="3" t="s">
        <v>10</v>
      </c>
      <c r="K9" s="3" t="s">
        <v>15</v>
      </c>
      <c r="L9" s="2" cm="1">
        <f t="array" ref="L9:N9">MMULT(L8:N8,$C$5:$E$7)</f>
        <v>0.16500000000000001</v>
      </c>
      <c r="M9" s="2">
        <v>0.48250000000000004</v>
      </c>
      <c r="N9" s="2">
        <v>0.35249999999999998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69D3-3366-4BE0-B3C0-1A310AE89575}">
  <dimension ref="B2:Z28"/>
  <sheetViews>
    <sheetView workbookViewId="0">
      <selection activeCell="L6" sqref="L6"/>
    </sheetView>
  </sheetViews>
  <sheetFormatPr baseColWidth="10" defaultRowHeight="14.5" x14ac:dyDescent="0.35"/>
  <cols>
    <col min="1" max="16384" width="10.90625" style="1"/>
  </cols>
  <sheetData>
    <row r="2" spans="2:26" x14ac:dyDescent="0.35">
      <c r="J2" s="1" t="s">
        <v>20</v>
      </c>
      <c r="K2" s="4">
        <f>M6*T6*X6</f>
        <v>0</v>
      </c>
    </row>
    <row r="4" spans="2:26" x14ac:dyDescent="0.35">
      <c r="B4" s="1" t="s">
        <v>0</v>
      </c>
      <c r="C4" s="1" t="s">
        <v>16</v>
      </c>
      <c r="D4" s="1" t="s">
        <v>17</v>
      </c>
      <c r="E4" s="1" t="s">
        <v>18</v>
      </c>
      <c r="L4" s="3" t="str">
        <f>C4</f>
        <v>h</v>
      </c>
      <c r="M4" s="3" t="str">
        <f>D4</f>
        <v>a</v>
      </c>
      <c r="N4" s="3" t="str">
        <f>E4</f>
        <v>f</v>
      </c>
      <c r="R4" s="3" t="s">
        <v>16</v>
      </c>
      <c r="S4" s="3" t="s">
        <v>17</v>
      </c>
      <c r="T4" s="3" t="s">
        <v>18</v>
      </c>
      <c r="X4" s="3" t="s">
        <v>16</v>
      </c>
      <c r="Y4" s="3" t="s">
        <v>17</v>
      </c>
      <c r="Z4" s="3" t="s">
        <v>18</v>
      </c>
    </row>
    <row r="5" spans="2:26" ht="16.5" x14ac:dyDescent="0.45">
      <c r="B5" s="1" t="str">
        <f>C4</f>
        <v>h</v>
      </c>
      <c r="C5" s="2">
        <v>0.5</v>
      </c>
      <c r="D5" s="2">
        <v>0.45</v>
      </c>
      <c r="E5" s="2">
        <v>0.05</v>
      </c>
      <c r="H5" s="1" t="s">
        <v>19</v>
      </c>
      <c r="J5" s="3" t="s">
        <v>5</v>
      </c>
      <c r="K5" s="3" t="s">
        <v>6</v>
      </c>
      <c r="L5" s="2">
        <v>1</v>
      </c>
      <c r="M5" s="2">
        <v>0</v>
      </c>
      <c r="N5" s="2">
        <v>0</v>
      </c>
      <c r="P5" s="3" t="s">
        <v>5</v>
      </c>
      <c r="Q5" s="3" t="s">
        <v>6</v>
      </c>
      <c r="R5" s="2">
        <v>0</v>
      </c>
      <c r="S5" s="2">
        <v>1</v>
      </c>
      <c r="T5" s="2">
        <v>0</v>
      </c>
      <c r="V5" s="3" t="s">
        <v>5</v>
      </c>
      <c r="W5" s="3" t="s">
        <v>6</v>
      </c>
      <c r="X5" s="2">
        <v>0</v>
      </c>
      <c r="Y5" s="2">
        <v>0</v>
      </c>
      <c r="Z5" s="2">
        <v>1</v>
      </c>
    </row>
    <row r="6" spans="2:26" ht="16.5" x14ac:dyDescent="0.45">
      <c r="B6" s="1" t="str">
        <f>D4</f>
        <v>a</v>
      </c>
      <c r="C6" s="2">
        <v>0.1</v>
      </c>
      <c r="D6" s="2">
        <v>0.5</v>
      </c>
      <c r="E6" s="2">
        <v>0.4</v>
      </c>
      <c r="J6" s="3" t="s">
        <v>7</v>
      </c>
      <c r="K6" s="3" t="s">
        <v>12</v>
      </c>
      <c r="L6" s="2" cm="1">
        <f t="array" ref="L6:N6">MMULT(L5:N5,$C$5:$E$7)</f>
        <v>0.5</v>
      </c>
      <c r="M6" s="2">
        <v>0.45</v>
      </c>
      <c r="N6" s="2">
        <v>0.05</v>
      </c>
      <c r="P6" s="3" t="s">
        <v>7</v>
      </c>
      <c r="Q6" s="3" t="s">
        <v>12</v>
      </c>
      <c r="R6" s="2" cm="1">
        <f t="array" ref="R6:T6">MMULT(R5:T5,$C$5:$E$7)</f>
        <v>0.1</v>
      </c>
      <c r="S6" s="2">
        <v>0.5</v>
      </c>
      <c r="T6" s="2">
        <v>0.4</v>
      </c>
      <c r="V6" s="3" t="s">
        <v>7</v>
      </c>
      <c r="W6" s="3" t="s">
        <v>12</v>
      </c>
      <c r="X6" s="2" cm="1">
        <f t="array" ref="X6:Z6">MMULT(X5:Z5,$C$5:$E$7)</f>
        <v>0</v>
      </c>
      <c r="Y6" s="2">
        <v>0.1</v>
      </c>
      <c r="Z6" s="2">
        <v>0.9</v>
      </c>
    </row>
    <row r="7" spans="2:26" x14ac:dyDescent="0.35">
      <c r="B7" s="1" t="str">
        <f>E4</f>
        <v>f</v>
      </c>
      <c r="C7" s="2">
        <v>0</v>
      </c>
      <c r="D7" s="2">
        <v>0.1</v>
      </c>
      <c r="E7" s="2">
        <v>0.9</v>
      </c>
    </row>
    <row r="12" spans="2:26" x14ac:dyDescent="0.35">
      <c r="B12" s="1" t="s">
        <v>23</v>
      </c>
      <c r="J12" s="1" t="s">
        <v>21</v>
      </c>
      <c r="K12" s="4">
        <f>M16*T16*X16</f>
        <v>1.8000000000000002E-2</v>
      </c>
    </row>
    <row r="14" spans="2:26" x14ac:dyDescent="0.35">
      <c r="L14" s="3" t="str">
        <f>L4</f>
        <v>h</v>
      </c>
      <c r="M14" s="3" t="str">
        <f>M4</f>
        <v>a</v>
      </c>
      <c r="N14" s="3" t="str">
        <f>N4</f>
        <v>f</v>
      </c>
      <c r="R14" s="3" t="s">
        <v>16</v>
      </c>
      <c r="S14" s="3" t="s">
        <v>17</v>
      </c>
      <c r="T14" s="3" t="s">
        <v>18</v>
      </c>
      <c r="X14" s="3" t="s">
        <v>16</v>
      </c>
      <c r="Y14" s="3" t="s">
        <v>17</v>
      </c>
      <c r="Z14" s="3" t="s">
        <v>18</v>
      </c>
    </row>
    <row r="15" spans="2:26" ht="16.5" x14ac:dyDescent="0.45">
      <c r="J15" s="3" t="s">
        <v>5</v>
      </c>
      <c r="K15" s="3" t="s">
        <v>6</v>
      </c>
      <c r="L15" s="2">
        <v>1</v>
      </c>
      <c r="M15" s="2">
        <v>0</v>
      </c>
      <c r="N15" s="2">
        <v>0</v>
      </c>
      <c r="P15" s="3" t="s">
        <v>5</v>
      </c>
      <c r="Q15" s="3" t="s">
        <v>6</v>
      </c>
      <c r="R15" s="2">
        <v>0</v>
      </c>
      <c r="S15" s="2">
        <v>1</v>
      </c>
      <c r="T15" s="2">
        <v>0</v>
      </c>
      <c r="V15" s="3" t="s">
        <v>5</v>
      </c>
      <c r="W15" s="3" t="s">
        <v>6</v>
      </c>
      <c r="X15" s="2">
        <v>0</v>
      </c>
      <c r="Y15" s="2">
        <v>1</v>
      </c>
      <c r="Z15" s="2">
        <v>0</v>
      </c>
    </row>
    <row r="16" spans="2:26" ht="16.5" x14ac:dyDescent="0.45">
      <c r="J16" s="3" t="s">
        <v>7</v>
      </c>
      <c r="K16" s="3" t="s">
        <v>12</v>
      </c>
      <c r="L16" s="2" cm="1">
        <f t="array" ref="L16:N16">MMULT(L15:N15,$C$5:$E$7)</f>
        <v>0.5</v>
      </c>
      <c r="M16" s="2">
        <v>0.45</v>
      </c>
      <c r="N16" s="2">
        <v>0.05</v>
      </c>
      <c r="P16" s="3" t="s">
        <v>7</v>
      </c>
      <c r="Q16" s="3" t="s">
        <v>12</v>
      </c>
      <c r="R16" s="2" cm="1">
        <f t="array" ref="R16:T16">MMULT(R15:T15,$C$5:$E$7)</f>
        <v>0.1</v>
      </c>
      <c r="S16" s="2">
        <v>0.5</v>
      </c>
      <c r="T16" s="2">
        <v>0.4</v>
      </c>
      <c r="V16" s="3" t="s">
        <v>7</v>
      </c>
      <c r="W16" s="3" t="s">
        <v>12</v>
      </c>
      <c r="X16" s="2" cm="1">
        <f t="array" ref="X16:Z16">MMULT(X15:Z15,$C$5:$E$7)</f>
        <v>0.1</v>
      </c>
      <c r="Y16" s="2">
        <v>0.5</v>
      </c>
      <c r="Z16" s="2">
        <v>0.4</v>
      </c>
    </row>
    <row r="21" spans="10:20" x14ac:dyDescent="0.35">
      <c r="J21" s="1" t="s">
        <v>22</v>
      </c>
      <c r="K21" s="4">
        <f>M25*S25</f>
        <v>0.25</v>
      </c>
    </row>
    <row r="23" spans="10:20" x14ac:dyDescent="0.35">
      <c r="L23" s="3" t="str">
        <f>L4</f>
        <v>h</v>
      </c>
      <c r="M23" s="3" t="str">
        <f>M4</f>
        <v>a</v>
      </c>
      <c r="N23" s="3" t="str">
        <f>N4</f>
        <v>f</v>
      </c>
      <c r="R23" s="3" t="str">
        <f>R4</f>
        <v>h</v>
      </c>
      <c r="S23" s="3" t="str">
        <f>S4</f>
        <v>a</v>
      </c>
      <c r="T23" s="3" t="str">
        <f>T4</f>
        <v>f</v>
      </c>
    </row>
    <row r="24" spans="10:20" ht="16.5" x14ac:dyDescent="0.45">
      <c r="J24" s="3" t="s">
        <v>5</v>
      </c>
      <c r="K24" s="3" t="s">
        <v>6</v>
      </c>
      <c r="L24" s="2">
        <v>0</v>
      </c>
      <c r="M24" s="2">
        <v>1</v>
      </c>
      <c r="N24" s="2">
        <v>0</v>
      </c>
      <c r="P24" s="3" t="s">
        <v>5</v>
      </c>
      <c r="Q24" s="3" t="s">
        <v>6</v>
      </c>
      <c r="R24" s="2">
        <v>0</v>
      </c>
      <c r="S24" s="2">
        <v>1</v>
      </c>
      <c r="T24" s="2">
        <v>0</v>
      </c>
    </row>
    <row r="25" spans="10:20" ht="16.5" x14ac:dyDescent="0.45">
      <c r="J25" s="3" t="s">
        <v>7</v>
      </c>
      <c r="K25" s="3" t="s">
        <v>12</v>
      </c>
      <c r="L25" s="2" cm="1">
        <f t="array" ref="L25:N25">MMULT(L24:N24,$C$5:$E$7)</f>
        <v>0.1</v>
      </c>
      <c r="M25" s="2">
        <v>0.5</v>
      </c>
      <c r="N25" s="2">
        <v>0.4</v>
      </c>
      <c r="P25" s="3" t="s">
        <v>7</v>
      </c>
      <c r="Q25" s="3" t="s">
        <v>12</v>
      </c>
      <c r="R25" s="2" cm="1">
        <f t="array" ref="R25:T25">MMULT(R24:T24,$C$5:$E$7)</f>
        <v>0.1</v>
      </c>
      <c r="S25" s="2">
        <v>0.5</v>
      </c>
      <c r="T25" s="2">
        <v>0.4</v>
      </c>
    </row>
    <row r="28" spans="10:20" x14ac:dyDescent="0.35">
      <c r="J28"/>
      <c r="K28"/>
      <c r="L28"/>
      <c r="M28"/>
      <c r="N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3982-8043-42A7-971D-542D425ED48A}">
  <dimension ref="B2:P21"/>
  <sheetViews>
    <sheetView workbookViewId="0">
      <selection activeCell="A4" sqref="A4:G9"/>
    </sheetView>
  </sheetViews>
  <sheetFormatPr baseColWidth="10" defaultRowHeight="14.5" x14ac:dyDescent="0.35"/>
  <cols>
    <col min="1" max="16384" width="10.90625" style="1"/>
  </cols>
  <sheetData>
    <row r="2" spans="2:16" x14ac:dyDescent="0.35">
      <c r="K2" s="4"/>
    </row>
    <row r="4" spans="2:16" x14ac:dyDescent="0.35">
      <c r="B4" s="1" t="s">
        <v>0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</row>
    <row r="5" spans="2:16" ht="16.5" x14ac:dyDescent="0.45">
      <c r="B5" s="1" t="s">
        <v>24</v>
      </c>
      <c r="C5" s="2">
        <v>0</v>
      </c>
      <c r="D5" s="2">
        <f>1/3</f>
        <v>0.33333333333333331</v>
      </c>
      <c r="E5" s="2">
        <f>1/3</f>
        <v>0.33333333333333331</v>
      </c>
      <c r="F5" s="2">
        <v>0</v>
      </c>
      <c r="G5" s="2">
        <f>1/3</f>
        <v>0.33333333333333331</v>
      </c>
      <c r="J5" s="3" t="s">
        <v>5</v>
      </c>
      <c r="K5" s="3" t="s">
        <v>6</v>
      </c>
      <c r="L5" s="2">
        <v>0</v>
      </c>
      <c r="M5" s="2">
        <v>1</v>
      </c>
      <c r="N5" s="2">
        <v>0</v>
      </c>
      <c r="O5" s="2">
        <v>0</v>
      </c>
      <c r="P5" s="2">
        <v>0</v>
      </c>
    </row>
    <row r="6" spans="2:16" ht="16.5" x14ac:dyDescent="0.45">
      <c r="B6" s="1" t="s">
        <v>25</v>
      </c>
      <c r="C6" s="2">
        <f>1/2</f>
        <v>0.5</v>
      </c>
      <c r="D6" s="2">
        <v>0</v>
      </c>
      <c r="E6" s="2">
        <v>0</v>
      </c>
      <c r="F6" s="2">
        <v>0</v>
      </c>
      <c r="G6" s="2">
        <f>1/2</f>
        <v>0.5</v>
      </c>
      <c r="J6" s="3" t="s">
        <v>7</v>
      </c>
      <c r="K6" s="3" t="s">
        <v>12</v>
      </c>
      <c r="L6" s="2" cm="1">
        <f t="array" ref="L6:P6">MMULT(L5:P5,$C$5:$G$9)</f>
        <v>0.5</v>
      </c>
      <c r="M6" s="2">
        <v>0</v>
      </c>
      <c r="N6" s="2">
        <v>0</v>
      </c>
      <c r="O6" s="2">
        <v>0</v>
      </c>
      <c r="P6" s="2">
        <v>0.5</v>
      </c>
    </row>
    <row r="7" spans="2:16" ht="16.5" x14ac:dyDescent="0.45">
      <c r="B7" s="1" t="s">
        <v>26</v>
      </c>
      <c r="C7" s="2">
        <f>1/2</f>
        <v>0.5</v>
      </c>
      <c r="D7" s="2">
        <v>0</v>
      </c>
      <c r="E7" s="2">
        <v>0</v>
      </c>
      <c r="F7" s="2">
        <v>0</v>
      </c>
      <c r="G7" s="2">
        <f>1/2</f>
        <v>0.5</v>
      </c>
      <c r="J7" s="3" t="s">
        <v>8</v>
      </c>
      <c r="K7" s="3" t="s">
        <v>13</v>
      </c>
      <c r="L7" s="2" cm="1">
        <f t="array" ref="L7:P7">MMULT(L6:P6,$C$5:$G$9)</f>
        <v>0.125</v>
      </c>
      <c r="M7" s="2">
        <v>0.29166666666666663</v>
      </c>
      <c r="N7" s="5">
        <v>0.29166666666666663</v>
      </c>
      <c r="O7" s="2">
        <v>0.125</v>
      </c>
      <c r="P7" s="2">
        <v>0.16666666666666666</v>
      </c>
    </row>
    <row r="8" spans="2:16" x14ac:dyDescent="0.35">
      <c r="B8" s="1" t="s">
        <v>27</v>
      </c>
      <c r="C8" s="2">
        <v>0</v>
      </c>
      <c r="D8" s="2">
        <v>0</v>
      </c>
      <c r="E8" s="2">
        <v>0</v>
      </c>
      <c r="F8" s="2">
        <v>0</v>
      </c>
      <c r="G8" s="2">
        <v>1</v>
      </c>
    </row>
    <row r="9" spans="2:16" x14ac:dyDescent="0.35">
      <c r="B9" s="1" t="s">
        <v>28</v>
      </c>
      <c r="C9" s="2">
        <f>1/4</f>
        <v>0.25</v>
      </c>
      <c r="D9" s="2">
        <f>1/4</f>
        <v>0.25</v>
      </c>
      <c r="E9" s="2">
        <f>1/4</f>
        <v>0.25</v>
      </c>
      <c r="F9" s="2">
        <f>1/4</f>
        <v>0.25</v>
      </c>
      <c r="G9" s="2">
        <v>0</v>
      </c>
    </row>
    <row r="10" spans="2:16" x14ac:dyDescent="0.35"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</row>
    <row r="11" spans="2:16" ht="16.5" x14ac:dyDescent="0.45">
      <c r="J11" s="3" t="s">
        <v>5</v>
      </c>
      <c r="K11" s="3" t="s">
        <v>6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</row>
    <row r="12" spans="2:16" ht="16.5" x14ac:dyDescent="0.45">
      <c r="J12" s="3" t="s">
        <v>7</v>
      </c>
      <c r="K12" s="3" t="s">
        <v>12</v>
      </c>
      <c r="L12" s="2" cm="1">
        <f t="array" ref="L12:P12">MMULT(L11:P11,$C$5:$G$9)</f>
        <v>0</v>
      </c>
      <c r="M12" s="2">
        <v>0</v>
      </c>
      <c r="N12" s="2">
        <v>0</v>
      </c>
      <c r="O12" s="2">
        <v>0</v>
      </c>
      <c r="P12" s="2">
        <v>1</v>
      </c>
    </row>
    <row r="13" spans="2:16" ht="16.5" x14ac:dyDescent="0.45">
      <c r="J13" s="3" t="s">
        <v>8</v>
      </c>
      <c r="K13" s="3" t="s">
        <v>13</v>
      </c>
      <c r="L13" s="2" cm="1">
        <f t="array" ref="L13:P13">MMULT(L12:P12,$C$5:$G$9)</f>
        <v>0.25</v>
      </c>
      <c r="M13" s="2">
        <v>0.25</v>
      </c>
      <c r="N13" s="2">
        <v>0.25</v>
      </c>
      <c r="O13" s="2">
        <v>0.25</v>
      </c>
      <c r="P13" s="2">
        <v>0</v>
      </c>
    </row>
    <row r="14" spans="2:16" ht="16.5" x14ac:dyDescent="0.45">
      <c r="J14" s="3" t="s">
        <v>9</v>
      </c>
      <c r="K14" s="3" t="s">
        <v>14</v>
      </c>
      <c r="L14" s="2" cm="1">
        <f t="array" ref="L14:P14">MMULT(L13:P13,$C$5:$G$9)</f>
        <v>0.25</v>
      </c>
      <c r="M14" s="2">
        <v>8.3333333333333329E-2</v>
      </c>
      <c r="N14" s="2">
        <v>8.3333333333333329E-2</v>
      </c>
      <c r="O14" s="2">
        <v>0</v>
      </c>
      <c r="P14" s="2">
        <v>0.58333333333333326</v>
      </c>
    </row>
    <row r="15" spans="2:16" ht="16.5" x14ac:dyDescent="0.45">
      <c r="J15" s="3" t="s">
        <v>10</v>
      </c>
      <c r="K15" s="3" t="s">
        <v>15</v>
      </c>
      <c r="L15" s="2" cm="1">
        <f t="array" ref="L15:P15">MMULT(L14:P14,$C$5:$G$9)</f>
        <v>0.22916666666666663</v>
      </c>
      <c r="M15" s="2">
        <v>0.22916666666666663</v>
      </c>
      <c r="N15" s="2">
        <v>0.22916666666666663</v>
      </c>
      <c r="O15" s="2">
        <v>0.14583333333333331</v>
      </c>
      <c r="P15" s="2">
        <v>0.16666666666666666</v>
      </c>
    </row>
    <row r="16" spans="2:16" ht="16.5" x14ac:dyDescent="0.45">
      <c r="J16" s="3" t="s">
        <v>11</v>
      </c>
      <c r="K16" s="3" t="s">
        <v>29</v>
      </c>
      <c r="L16" s="2" cm="1">
        <f t="array" ref="L16:P16">MMULT(L15:P15,$C$5:$G$9)</f>
        <v>0.27083333333333331</v>
      </c>
      <c r="M16" s="2">
        <v>0.11805555555555552</v>
      </c>
      <c r="N16" s="5">
        <v>0.11805555555555552</v>
      </c>
      <c r="O16" s="2">
        <v>4.1666666666666664E-2</v>
      </c>
      <c r="P16" s="2">
        <v>0.45138888888888878</v>
      </c>
    </row>
    <row r="21" spans="11:11" x14ac:dyDescent="0.35">
      <c r="K21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2EA7-F869-4CBB-8521-89D327C5173C}">
  <dimension ref="A2:W24"/>
  <sheetViews>
    <sheetView tabSelected="1" workbookViewId="0">
      <selection activeCell="P12" sqref="P12"/>
    </sheetView>
  </sheetViews>
  <sheetFormatPr baseColWidth="10" defaultRowHeight="14.5" x14ac:dyDescent="0.35"/>
  <cols>
    <col min="1" max="16384" width="10.90625" style="1"/>
  </cols>
  <sheetData>
    <row r="2" spans="1:23" x14ac:dyDescent="0.35">
      <c r="A2" s="7" t="s">
        <v>42</v>
      </c>
    </row>
    <row r="3" spans="1:23" x14ac:dyDescent="0.35">
      <c r="A3" s="7" t="s">
        <v>30</v>
      </c>
      <c r="C3" s="1" t="s">
        <v>0</v>
      </c>
      <c r="D3" s="1" t="s">
        <v>24</v>
      </c>
      <c r="E3" s="1" t="s">
        <v>25</v>
      </c>
      <c r="I3" s="1" t="s">
        <v>24</v>
      </c>
      <c r="J3" s="1" t="s">
        <v>25</v>
      </c>
    </row>
    <row r="4" spans="1:23" x14ac:dyDescent="0.35">
      <c r="C4" s="1" t="s">
        <v>24</v>
      </c>
      <c r="D4" s="10">
        <v>0.8</v>
      </c>
      <c r="E4" s="10">
        <v>0.2</v>
      </c>
      <c r="F4" s="6"/>
      <c r="G4" s="6"/>
      <c r="H4" s="6" t="s">
        <v>31</v>
      </c>
      <c r="I4" s="1">
        <v>0</v>
      </c>
      <c r="J4" s="1">
        <v>1</v>
      </c>
    </row>
    <row r="5" spans="1:23" x14ac:dyDescent="0.35">
      <c r="C5" s="1" t="s">
        <v>25</v>
      </c>
      <c r="D5" s="10">
        <v>0.3</v>
      </c>
      <c r="E5" s="10">
        <v>0.7</v>
      </c>
      <c r="F5" s="6"/>
      <c r="G5" s="6"/>
      <c r="H5" s="6" t="s">
        <v>32</v>
      </c>
      <c r="I5" s="1" cm="1">
        <f t="array" ref="I5:J5">MMULT(I4:J4,$D$4:$E$5)</f>
        <v>0.3</v>
      </c>
      <c r="J5" s="1">
        <v>0.7</v>
      </c>
    </row>
    <row r="6" spans="1:23" x14ac:dyDescent="0.35">
      <c r="D6" s="6"/>
      <c r="E6" s="6"/>
      <c r="F6" s="6"/>
      <c r="G6" s="6"/>
      <c r="H6" s="6" t="s">
        <v>33</v>
      </c>
      <c r="I6" s="1" cm="1">
        <f t="array" ref="I6:J6">MMULT(I5:J5,$D$4:$E$5)</f>
        <v>0.44999999999999996</v>
      </c>
      <c r="J6" s="1">
        <v>0.54999999999999993</v>
      </c>
    </row>
    <row r="7" spans="1:23" x14ac:dyDescent="0.35">
      <c r="D7" s="6"/>
      <c r="E7" s="6"/>
      <c r="F7" s="6"/>
      <c r="G7" s="6"/>
      <c r="H7" s="6" t="s">
        <v>34</v>
      </c>
      <c r="I7" s="1" cm="1">
        <f t="array" ref="I7:J7">MMULT(I6:J6,$D$4:$E$5)</f>
        <v>0.52499999999999991</v>
      </c>
      <c r="J7" s="1">
        <v>0.47499999999999998</v>
      </c>
    </row>
    <row r="8" spans="1:23" x14ac:dyDescent="0.35">
      <c r="D8" s="6"/>
      <c r="E8" s="6"/>
      <c r="F8" s="6"/>
      <c r="G8" s="6"/>
      <c r="H8" s="6" t="s">
        <v>35</v>
      </c>
      <c r="I8" s="1" cm="1">
        <f t="array" ref="I8:J8">MMULT(I7:J7,$D$4:$E$5)</f>
        <v>0.56249999999999989</v>
      </c>
      <c r="J8" s="1">
        <v>0.43749999999999994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x14ac:dyDescent="0.35">
      <c r="H9" s="6" t="s">
        <v>36</v>
      </c>
      <c r="I9" s="1" cm="1">
        <f t="array" ref="I9:J9">MMULT(I8:J8,$D$4:$E$5)</f>
        <v>0.58124999999999993</v>
      </c>
      <c r="J9" s="1">
        <v>0.41874999999999996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35">
      <c r="H10" s="6" t="s">
        <v>37</v>
      </c>
      <c r="I10" s="1" cm="1">
        <f t="array" ref="I10:J10">MMULT(I9:J9,$D$4:$E$5)</f>
        <v>0.59062499999999996</v>
      </c>
      <c r="J10" s="1">
        <v>0.40937499999999993</v>
      </c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35">
      <c r="H11" s="6" t="s">
        <v>38</v>
      </c>
      <c r="I11" s="1" cm="1">
        <f t="array" ref="I11:J11">MMULT(I10:J10,$D$4:$E$5)</f>
        <v>0.59531249999999991</v>
      </c>
      <c r="J11" s="1">
        <v>0.40468749999999992</v>
      </c>
      <c r="K11" s="8"/>
      <c r="L11" s="9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35">
      <c r="H12" s="6" t="s">
        <v>39</v>
      </c>
      <c r="I12" s="1" cm="1">
        <f t="array" ref="I12:J12">MMULT(I11:J11,$D$4:$E$5)</f>
        <v>0.59765624999999989</v>
      </c>
      <c r="J12" s="1">
        <v>0.40234374999999989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x14ac:dyDescent="0.35">
      <c r="H13" s="6" t="s">
        <v>40</v>
      </c>
      <c r="I13" s="1" cm="1">
        <f t="array" ref="I13:J13">MMULT(I12:J12,$D$4:$E$5)</f>
        <v>0.59882812499999982</v>
      </c>
      <c r="J13" s="1">
        <v>0.4011718749999999</v>
      </c>
      <c r="K13" s="8"/>
      <c r="L13" s="8"/>
      <c r="M13" s="8"/>
      <c r="N13" s="8"/>
      <c r="O13" s="8"/>
      <c r="P13" s="8"/>
      <c r="Q13" s="8"/>
      <c r="R13" s="8"/>
      <c r="S13" s="8"/>
      <c r="T13" s="9"/>
      <c r="U13" s="8"/>
      <c r="V13" s="8"/>
      <c r="W13" s="8"/>
    </row>
    <row r="14" spans="1:23" x14ac:dyDescent="0.35">
      <c r="H14" s="6" t="s">
        <v>41</v>
      </c>
      <c r="I14" s="1" cm="1">
        <f t="array" ref="I14:J14">MMULT(I13:J13,$D$4:$E$5)</f>
        <v>0.59941406249999984</v>
      </c>
      <c r="J14" s="1">
        <v>0.40058593749999988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x14ac:dyDescent="0.35"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x14ac:dyDescent="0.35"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0:23" x14ac:dyDescent="0.35"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0:23" x14ac:dyDescent="0.35"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0:23" x14ac:dyDescent="0.35"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0:23" x14ac:dyDescent="0.35"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0:23" x14ac:dyDescent="0.35"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0:23" x14ac:dyDescent="0.35"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0:23" x14ac:dyDescent="0.35">
      <c r="J23" s="8"/>
      <c r="K23" s="8"/>
      <c r="L23" s="8"/>
      <c r="M23" s="8"/>
      <c r="N23" s="8"/>
      <c r="O23" s="8"/>
      <c r="P23" s="8"/>
      <c r="Q23" s="8"/>
      <c r="R23" s="8"/>
      <c r="S23" s="8"/>
      <c r="T23" s="9"/>
      <c r="U23" s="8"/>
      <c r="V23" s="8"/>
      <c r="W23" s="8"/>
    </row>
    <row r="24" spans="10:23" x14ac:dyDescent="0.35"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exercice 1</vt:lpstr>
      <vt:lpstr>exercice 2</vt:lpstr>
      <vt:lpstr>exercice 3</vt:lpstr>
      <vt:lpstr>Exercice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2025-02-21T09:45:59Z</dcterms:created>
  <dcterms:modified xsi:type="dcterms:W3CDTF">2025-03-17T07:23:50Z</dcterms:modified>
</cp:coreProperties>
</file>