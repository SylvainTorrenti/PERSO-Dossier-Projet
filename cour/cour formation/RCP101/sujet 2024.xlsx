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rs\Documents\GitHub\Dossier-Projet\cour\cour formation\RCP101\"/>
    </mc:Choice>
  </mc:AlternateContent>
  <xr:revisionPtr revIDLastSave="0" documentId="8_{ACA7ACA8-1369-448A-BB8D-3CFB0FA3DF2F}" xr6:coauthVersionLast="47" xr6:coauthVersionMax="47" xr10:uidLastSave="{00000000-0000-0000-0000-000000000000}"/>
  <bookViews>
    <workbookView xWindow="38280" yWindow="3075" windowWidth="29040" windowHeight="15720" activeTab="1" xr2:uid="{E3BFFD25-B2D3-4D90-A2B6-7FF31A3B0A59}"/>
  </bookViews>
  <sheets>
    <sheet name="Exercice 4" sheetId="1" r:id="rId1"/>
    <sheet name="Exercice 3" sheetId="3" r:id="rId2"/>
  </sheets>
  <definedNames>
    <definedName name="solver_adj" localSheetId="1" hidden="1">'Exercice 3'!$F$34:$G$34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'Exercice 3'!$G$44</definedName>
    <definedName name="solver_lhs2" localSheetId="1" hidden="1">'Exercice 3'!$G$45</definedName>
    <definedName name="solver_lhs3" localSheetId="1" hidden="1">'Exercice 3'!$G$46</definedName>
    <definedName name="solver_lhs4" localSheetId="1" hidden="1">'Exercice 3'!$G$47</definedName>
    <definedName name="solver_lhs5" localSheetId="1" hidden="1">'Exercice 3'!$G$48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5</definedName>
    <definedName name="solver_nwt" localSheetId="1" hidden="1">1</definedName>
    <definedName name="solver_opt" localSheetId="1" hidden="1">'Exercice 3'!$E$38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1</definedName>
    <definedName name="solver_rel5" localSheetId="1" hidden="1">1</definedName>
    <definedName name="solver_rhs1" localSheetId="1" hidden="1">'Exercice 3'!$H$44</definedName>
    <definedName name="solver_rhs2" localSheetId="1" hidden="1">'Exercice 3'!$H$45</definedName>
    <definedName name="solver_rhs3" localSheetId="1" hidden="1">'Exercice 3'!$H$46</definedName>
    <definedName name="solver_rhs4" localSheetId="1" hidden="1">'Exercice 3'!$H$47</definedName>
    <definedName name="solver_rhs5" localSheetId="1" hidden="1">'Exercice 3'!$H$48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5" i="3" l="1"/>
  <c r="G46" i="3"/>
  <c r="G47" i="3"/>
  <c r="G48" i="3"/>
  <c r="G44" i="3"/>
  <c r="E38" i="3"/>
  <c r="F36" i="3"/>
  <c r="G36" i="3"/>
  <c r="E43" i="3"/>
  <c r="F43" i="3"/>
  <c r="B17" i="1" a="1"/>
  <c r="B17" i="1" s="1"/>
  <c r="B18" i="1" s="1" a="1"/>
  <c r="B18" i="1" s="1"/>
  <c r="B19" i="1" s="1" a="1"/>
  <c r="B19" i="1" s="1"/>
  <c r="B20" i="1" s="1" a="1"/>
  <c r="B2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<sst xmlns="http://schemas.openxmlformats.org/spreadsheetml/2006/main" count="42" uniqueCount="42">
  <si>
    <t>Matrice de transition</t>
  </si>
  <si>
    <t xml:space="preserve">4,2 ) </t>
  </si>
  <si>
    <t>t0</t>
  </si>
  <si>
    <t>t1</t>
  </si>
  <si>
    <t>t2</t>
  </si>
  <si>
    <t>t3</t>
  </si>
  <si>
    <t>t4</t>
  </si>
  <si>
    <t>Max</t>
  </si>
  <si>
    <t>Utilisé</t>
  </si>
  <si>
    <t>Max Profit</t>
  </si>
  <si>
    <t>Prix</t>
  </si>
  <si>
    <t>Benefice</t>
  </si>
  <si>
    <t>Quantité</t>
  </si>
  <si>
    <t>3-Résolution</t>
  </si>
  <si>
    <t>Objectif obtenir la meilleure marge</t>
  </si>
  <si>
    <t>2-Contrainte &amp; objectif</t>
  </si>
  <si>
    <t>1-Variable de décisions</t>
  </si>
  <si>
    <t>Variables de décision</t>
  </si>
  <si>
    <t>MODELISATION</t>
  </si>
  <si>
    <t>X : P1</t>
  </si>
  <si>
    <t>Y : P2</t>
  </si>
  <si>
    <t>X</t>
  </si>
  <si>
    <t>Y</t>
  </si>
  <si>
    <t>Ni</t>
  </si>
  <si>
    <t>Cr</t>
  </si>
  <si>
    <t>Ge</t>
  </si>
  <si>
    <t>Mg</t>
  </si>
  <si>
    <t>Four</t>
  </si>
  <si>
    <t xml:space="preserve">4,3 ) </t>
  </si>
  <si>
    <t>C1 : 2X + 3Y &lt;= 21</t>
  </si>
  <si>
    <t>C2 : 5X + 2Y &lt;=10</t>
  </si>
  <si>
    <t>C3 : 5X &lt;= 12</t>
  </si>
  <si>
    <t>C4 : 2X + Y &lt;= 8</t>
  </si>
  <si>
    <t>C5 : x + 2Y &lt;= 6</t>
  </si>
  <si>
    <t>Utilisation du Nickel</t>
  </si>
  <si>
    <t>Utilisation du Chrome</t>
  </si>
  <si>
    <t>Utilisation du Germanium</t>
  </si>
  <si>
    <t>Utilisation du Magnesium</t>
  </si>
  <si>
    <t>Utilisation du Four</t>
  </si>
  <si>
    <t>F : 250X + 100Y</t>
  </si>
  <si>
    <t>5x = 12</t>
  </si>
  <si>
    <t>x + 2y =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</si>
</sst>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5"/>
      <name val="Aptos Narrow"/>
      <family val="2"/>
      <scheme val="minor"/>
    </font>
    <font>
      <sz val="20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3" fontId="2" fillId="4" borderId="1" xfId="0" applyNumberFormat="1" applyFont="1" applyFill="1" applyBorder="1"/>
    <xf numFmtId="1" fontId="0" fillId="2" borderId="1" xfId="0" applyNumberFormat="1" applyFill="1" applyBorder="1" applyAlignment="1">
      <alignment horizontal="center"/>
    </xf>
    <xf numFmtId="0" fontId="3" fillId="2" borderId="0" xfId="0" applyFont="1" applyFill="1"/>
    <xf numFmtId="0" fontId="2" fillId="2" borderId="0" xfId="0" applyFont="1" applyFill="1"/>
    <xf numFmtId="0" fontId="1" fillId="2" borderId="0" xfId="0" applyFont="1" applyFill="1"/>
    <xf numFmtId="0" fontId="4" fillId="2" borderId="0" xfId="0" applyFont="1" applyFill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438150</xdr:colOff>
      <xdr:row>6</xdr:row>
      <xdr:rowOff>0</xdr:rowOff>
    </xdr:from>
    <xdr:to>
      <xdr:col>8</xdr:col>
      <xdr:colOff>539750</xdr:colOff>
      <xdr:row>10</xdr:row>
      <xdr:rowOff>6350</xdr:rowOff>
    </xdr:to>
    <xdr:sp macro="" textlink="">
      <xdr:nvSpPr>
        <xdr:cNvPr id="2" name="Ellipse 1">
          <a:extLst>
            <a:ext uri="{FF2B5EF4-FFF2-40B4-BE49-F238E27FC236}">
              <a16:creationId xmlns:a16="http://schemas.microsoft.com/office/drawing/2014/main" id="{357C868B-5ACF-57B0-E492-AB6120A42C67}"/>
            </a:ext>
          </a:extLst>
        </xdr:cNvPr>
        <xdr:cNvSpPr/>
      </xdr:nvSpPr>
      <xdr:spPr>
        <a:xfrm>
          <a:off x="5772150" y="1104900"/>
          <a:ext cx="863600" cy="742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1</a:t>
          </a:r>
        </a:p>
      </xdr:txBody>
    </xdr:sp>
    <xdr:clientData/>
  </xdr:twoCellAnchor>
  <xdr:twoCellAnchor>
    <xdr:from>
      <xdr:col>9</xdr:col>
      <xdr:colOff>717550</xdr:colOff>
      <xdr:row>6</xdr:row>
      <xdr:rowOff>0</xdr:rowOff>
    </xdr:from>
    <xdr:to>
      <xdr:col>11</xdr:col>
      <xdr:colOff>57150</xdr:colOff>
      <xdr:row>10</xdr:row>
      <xdr:rowOff>6350</xdr:rowOff>
    </xdr:to>
    <xdr:sp macro="" textlink="">
      <xdr:nvSpPr>
        <xdr:cNvPr id="3" name="Ellipse 2">
          <a:extLst>
            <a:ext uri="{FF2B5EF4-FFF2-40B4-BE49-F238E27FC236}">
              <a16:creationId xmlns:a16="http://schemas.microsoft.com/office/drawing/2014/main" id="{F022EFC0-AAB9-4C4A-863B-9EA6D41E9E57}"/>
            </a:ext>
          </a:extLst>
        </xdr:cNvPr>
        <xdr:cNvSpPr/>
      </xdr:nvSpPr>
      <xdr:spPr>
        <a:xfrm>
          <a:off x="7575550" y="1104900"/>
          <a:ext cx="863600" cy="742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2</a:t>
          </a:r>
        </a:p>
      </xdr:txBody>
    </xdr:sp>
    <xdr:clientData/>
  </xdr:twoCellAnchor>
  <xdr:twoCellAnchor>
    <xdr:from>
      <xdr:col>12</xdr:col>
      <xdr:colOff>203200</xdr:colOff>
      <xdr:row>6</xdr:row>
      <xdr:rowOff>12700</xdr:rowOff>
    </xdr:from>
    <xdr:to>
      <xdr:col>13</xdr:col>
      <xdr:colOff>304800</xdr:colOff>
      <xdr:row>10</xdr:row>
      <xdr:rowOff>19050</xdr:rowOff>
    </xdr:to>
    <xdr:sp macro="" textlink="">
      <xdr:nvSpPr>
        <xdr:cNvPr id="4" name="Ellipse 3">
          <a:extLst>
            <a:ext uri="{FF2B5EF4-FFF2-40B4-BE49-F238E27FC236}">
              <a16:creationId xmlns:a16="http://schemas.microsoft.com/office/drawing/2014/main" id="{3EC05DAF-0295-4608-AD24-C6728BA8B60F}"/>
            </a:ext>
          </a:extLst>
        </xdr:cNvPr>
        <xdr:cNvSpPr/>
      </xdr:nvSpPr>
      <xdr:spPr>
        <a:xfrm>
          <a:off x="9347200" y="1117600"/>
          <a:ext cx="863600" cy="74295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3</a:t>
          </a:r>
        </a:p>
      </xdr:txBody>
    </xdr:sp>
    <xdr:clientData/>
  </xdr:twoCellAnchor>
  <xdr:twoCellAnchor>
    <xdr:from>
      <xdr:col>8</xdr:col>
      <xdr:colOff>539750</xdr:colOff>
      <xdr:row>8</xdr:row>
      <xdr:rowOff>3175</xdr:rowOff>
    </xdr:from>
    <xdr:to>
      <xdr:col>9</xdr:col>
      <xdr:colOff>717550</xdr:colOff>
      <xdr:row>8</xdr:row>
      <xdr:rowOff>3175</xdr:rowOff>
    </xdr:to>
    <xdr:cxnSp macro="">
      <xdr:nvCxnSpPr>
        <xdr:cNvPr id="6" name="Connecteur droit avec flèche 5">
          <a:extLst>
            <a:ext uri="{FF2B5EF4-FFF2-40B4-BE49-F238E27FC236}">
              <a16:creationId xmlns:a16="http://schemas.microsoft.com/office/drawing/2014/main" id="{6EFDBC50-6C97-E20F-8ACD-0DF247F0EE6B}"/>
            </a:ext>
          </a:extLst>
        </xdr:cNvPr>
        <xdr:cNvCxnSpPr>
          <a:stCxn id="2" idx="6"/>
          <a:endCxn id="3" idx="2"/>
        </xdr:cNvCxnSpPr>
      </xdr:nvCxnSpPr>
      <xdr:spPr>
        <a:xfrm>
          <a:off x="6635750" y="1476375"/>
          <a:ext cx="9398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564621</xdr:colOff>
      <xdr:row>5</xdr:row>
      <xdr:rowOff>184149</xdr:rowOff>
    </xdr:from>
    <xdr:to>
      <xdr:col>8</xdr:col>
      <xdr:colOff>107950</xdr:colOff>
      <xdr:row>6</xdr:row>
      <xdr:rowOff>108802</xdr:rowOff>
    </xdr:to>
    <xdr:cxnSp macro="">
      <xdr:nvCxnSpPr>
        <xdr:cNvPr id="10" name="Connecteur : en angle 9">
          <a:extLst>
            <a:ext uri="{FF2B5EF4-FFF2-40B4-BE49-F238E27FC236}">
              <a16:creationId xmlns:a16="http://schemas.microsoft.com/office/drawing/2014/main" id="{D74AF99F-B629-0A41-DF3F-BEE99930EE9F}"/>
            </a:ext>
          </a:extLst>
        </xdr:cNvPr>
        <xdr:cNvCxnSpPr>
          <a:stCxn id="2" idx="0"/>
          <a:endCxn id="2" idx="1"/>
        </xdr:cNvCxnSpPr>
      </xdr:nvCxnSpPr>
      <xdr:spPr>
        <a:xfrm rot="16200000" flipH="1" flipV="1">
          <a:off x="5996884" y="1006636"/>
          <a:ext cx="108803" cy="305329"/>
        </a:xfrm>
        <a:prstGeom prst="bentConnector3">
          <a:avLst>
            <a:gd name="adj1" fmla="val -21010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527050</xdr:colOff>
      <xdr:row>3</xdr:row>
      <xdr:rowOff>82550</xdr:rowOff>
    </xdr:from>
    <xdr:ext cx="364395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B125BF04-B9ED-09C5-1A3E-2367F4526F36}"/>
            </a:ext>
          </a:extLst>
        </xdr:cNvPr>
        <xdr:cNvSpPr txBox="1"/>
      </xdr:nvSpPr>
      <xdr:spPr>
        <a:xfrm>
          <a:off x="5861050" y="63500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0,2</a:t>
          </a:r>
        </a:p>
      </xdr:txBody>
    </xdr:sp>
    <xdr:clientData/>
  </xdr:oneCellAnchor>
  <xdr:oneCellAnchor>
    <xdr:from>
      <xdr:col>9</xdr:col>
      <xdr:colOff>57150</xdr:colOff>
      <xdr:row>8</xdr:row>
      <xdr:rowOff>95250</xdr:rowOff>
    </xdr:from>
    <xdr:ext cx="364395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657F4AE9-179F-F1EA-CAD7-FC6AE0B846C9}"/>
            </a:ext>
          </a:extLst>
        </xdr:cNvPr>
        <xdr:cNvSpPr txBox="1"/>
      </xdr:nvSpPr>
      <xdr:spPr>
        <a:xfrm>
          <a:off x="6915150" y="15684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0,1</a:t>
          </a:r>
        </a:p>
      </xdr:txBody>
    </xdr:sp>
    <xdr:clientData/>
  </xdr:oneCellAnchor>
  <xdr:oneCellAnchor>
    <xdr:from>
      <xdr:col>10</xdr:col>
      <xdr:colOff>222250</xdr:colOff>
      <xdr:row>12</xdr:row>
      <xdr:rowOff>31750</xdr:rowOff>
    </xdr:from>
    <xdr:ext cx="364395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A23F3969-CD7F-8C10-81A0-22B90F0F22EB}"/>
            </a:ext>
          </a:extLst>
        </xdr:cNvPr>
        <xdr:cNvSpPr txBox="1"/>
      </xdr:nvSpPr>
      <xdr:spPr>
        <a:xfrm>
          <a:off x="7842250" y="22415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0,7</a:t>
          </a:r>
        </a:p>
      </xdr:txBody>
    </xdr:sp>
    <xdr:clientData/>
  </xdr:oneCellAnchor>
  <xdr:twoCellAnchor>
    <xdr:from>
      <xdr:col>8</xdr:col>
      <xdr:colOff>107950</xdr:colOff>
      <xdr:row>10</xdr:row>
      <xdr:rowOff>6350</xdr:rowOff>
    </xdr:from>
    <xdr:to>
      <xdr:col>12</xdr:col>
      <xdr:colOff>635000</xdr:colOff>
      <xdr:row>10</xdr:row>
      <xdr:rowOff>19050</xdr:rowOff>
    </xdr:to>
    <xdr:cxnSp macro="">
      <xdr:nvCxnSpPr>
        <xdr:cNvPr id="20" name="Connecteur : en angle 19">
          <a:extLst>
            <a:ext uri="{FF2B5EF4-FFF2-40B4-BE49-F238E27FC236}">
              <a16:creationId xmlns:a16="http://schemas.microsoft.com/office/drawing/2014/main" id="{410571DF-F914-3150-3BF6-44534BBD4031}"/>
            </a:ext>
          </a:extLst>
        </xdr:cNvPr>
        <xdr:cNvCxnSpPr>
          <a:stCxn id="2" idx="4"/>
          <a:endCxn id="4" idx="4"/>
        </xdr:cNvCxnSpPr>
      </xdr:nvCxnSpPr>
      <xdr:spPr>
        <a:xfrm rot="16200000" flipH="1">
          <a:off x="7985125" y="66675"/>
          <a:ext cx="12700" cy="3575050"/>
        </a:xfrm>
        <a:prstGeom prst="bentConnector3">
          <a:avLst>
            <a:gd name="adj1" fmla="val 33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413279</xdr:colOff>
      <xdr:row>6</xdr:row>
      <xdr:rowOff>108803</xdr:rowOff>
    </xdr:from>
    <xdr:to>
      <xdr:col>10</xdr:col>
      <xdr:colOff>82021</xdr:colOff>
      <xdr:row>6</xdr:row>
      <xdr:rowOff>108803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14316D1B-E4F8-D1A5-6375-BFF7B74AB10A}"/>
            </a:ext>
          </a:extLst>
        </xdr:cNvPr>
        <xdr:cNvCxnSpPr>
          <a:stCxn id="3" idx="1"/>
          <a:endCxn id="2" idx="7"/>
        </xdr:cNvCxnSpPr>
      </xdr:nvCxnSpPr>
      <xdr:spPr>
        <a:xfrm flipH="1">
          <a:off x="6509279" y="1213703"/>
          <a:ext cx="1192742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755650</xdr:colOff>
      <xdr:row>5</xdr:row>
      <xdr:rowOff>76200</xdr:rowOff>
    </xdr:from>
    <xdr:ext cx="364395" cy="264560"/>
    <xdr:sp macro="" textlink="">
      <xdr:nvSpPr>
        <xdr:cNvPr id="27" name="ZoneTexte 26">
          <a:extLst>
            <a:ext uri="{FF2B5EF4-FFF2-40B4-BE49-F238E27FC236}">
              <a16:creationId xmlns:a16="http://schemas.microsoft.com/office/drawing/2014/main" id="{D88A5085-08C0-4B94-AEF6-ACA213195A9F}"/>
            </a:ext>
          </a:extLst>
        </xdr:cNvPr>
        <xdr:cNvSpPr txBox="1"/>
      </xdr:nvSpPr>
      <xdr:spPr>
        <a:xfrm>
          <a:off x="6851650" y="9969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0,2</a:t>
          </a:r>
        </a:p>
      </xdr:txBody>
    </xdr:sp>
    <xdr:clientData/>
  </xdr:oneCellAnchor>
  <xdr:twoCellAnchor>
    <xdr:from>
      <xdr:col>10</xdr:col>
      <xdr:colOff>387351</xdr:colOff>
      <xdr:row>6</xdr:row>
      <xdr:rowOff>0</xdr:rowOff>
    </xdr:from>
    <xdr:to>
      <xdr:col>10</xdr:col>
      <xdr:colOff>692680</xdr:colOff>
      <xdr:row>6</xdr:row>
      <xdr:rowOff>108803</xdr:rowOff>
    </xdr:to>
    <xdr:cxnSp macro="">
      <xdr:nvCxnSpPr>
        <xdr:cNvPr id="29" name="Connecteur : en angle 28">
          <a:extLst>
            <a:ext uri="{FF2B5EF4-FFF2-40B4-BE49-F238E27FC236}">
              <a16:creationId xmlns:a16="http://schemas.microsoft.com/office/drawing/2014/main" id="{1D21A256-F8A2-575B-D6BB-23883A17F83E}"/>
            </a:ext>
          </a:extLst>
        </xdr:cNvPr>
        <xdr:cNvCxnSpPr>
          <a:stCxn id="3" idx="7"/>
          <a:endCxn id="3" idx="0"/>
        </xdr:cNvCxnSpPr>
      </xdr:nvCxnSpPr>
      <xdr:spPr>
        <a:xfrm rot="16200000" flipV="1">
          <a:off x="8105614" y="1006637"/>
          <a:ext cx="108803" cy="305329"/>
        </a:xfrm>
        <a:prstGeom prst="bentConnector3">
          <a:avLst>
            <a:gd name="adj1" fmla="val 310105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336550</xdr:colOff>
      <xdr:row>3</xdr:row>
      <xdr:rowOff>82550</xdr:rowOff>
    </xdr:from>
    <xdr:ext cx="364395" cy="264560"/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79838375-9CDC-568F-C610-DF0BFF0B6004}"/>
            </a:ext>
          </a:extLst>
        </xdr:cNvPr>
        <xdr:cNvSpPr txBox="1"/>
      </xdr:nvSpPr>
      <xdr:spPr>
        <a:xfrm>
          <a:off x="7956550" y="63500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0,3</a:t>
          </a:r>
        </a:p>
      </xdr:txBody>
    </xdr:sp>
    <xdr:clientData/>
  </xdr:oneCellAnchor>
  <xdr:twoCellAnchor>
    <xdr:from>
      <xdr:col>11</xdr:col>
      <xdr:colOff>57150</xdr:colOff>
      <xdr:row>8</xdr:row>
      <xdr:rowOff>3175</xdr:rowOff>
    </xdr:from>
    <xdr:to>
      <xdr:col>12</xdr:col>
      <xdr:colOff>203200</xdr:colOff>
      <xdr:row>8</xdr:row>
      <xdr:rowOff>15875</xdr:rowOff>
    </xdr:to>
    <xdr:cxnSp macro="">
      <xdr:nvCxnSpPr>
        <xdr:cNvPr id="32" name="Connecteur droit avec flèche 31">
          <a:extLst>
            <a:ext uri="{FF2B5EF4-FFF2-40B4-BE49-F238E27FC236}">
              <a16:creationId xmlns:a16="http://schemas.microsoft.com/office/drawing/2014/main" id="{F15EB881-ABA9-C79A-77A3-5BE5007BA100}"/>
            </a:ext>
          </a:extLst>
        </xdr:cNvPr>
        <xdr:cNvCxnSpPr>
          <a:stCxn id="3" idx="6"/>
          <a:endCxn id="4" idx="2"/>
        </xdr:cNvCxnSpPr>
      </xdr:nvCxnSpPr>
      <xdr:spPr>
        <a:xfrm>
          <a:off x="8439150" y="1476375"/>
          <a:ext cx="90805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304800</xdr:colOff>
      <xdr:row>6</xdr:row>
      <xdr:rowOff>127000</xdr:rowOff>
    </xdr:from>
    <xdr:ext cx="364395" cy="264560"/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B0580CB9-01AD-BF04-EE2A-D3C2CF92AA50}"/>
            </a:ext>
          </a:extLst>
        </xdr:cNvPr>
        <xdr:cNvSpPr txBox="1"/>
      </xdr:nvSpPr>
      <xdr:spPr>
        <a:xfrm>
          <a:off x="8686800" y="123190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0,5</a:t>
          </a:r>
        </a:p>
      </xdr:txBody>
    </xdr:sp>
    <xdr:clientData/>
  </xdr:oneCellAnchor>
  <xdr:twoCellAnchor>
    <xdr:from>
      <xdr:col>7</xdr:col>
      <xdr:colOff>438150</xdr:colOff>
      <xdr:row>6</xdr:row>
      <xdr:rowOff>12699</xdr:rowOff>
    </xdr:from>
    <xdr:to>
      <xdr:col>12</xdr:col>
      <xdr:colOff>635000</xdr:colOff>
      <xdr:row>8</xdr:row>
      <xdr:rowOff>3174</xdr:rowOff>
    </xdr:to>
    <xdr:cxnSp macro="">
      <xdr:nvCxnSpPr>
        <xdr:cNvPr id="38" name="Connecteur : en angle 37">
          <a:extLst>
            <a:ext uri="{FF2B5EF4-FFF2-40B4-BE49-F238E27FC236}">
              <a16:creationId xmlns:a16="http://schemas.microsoft.com/office/drawing/2014/main" id="{D58A87EA-55DF-AFC6-0B1C-890DE231F4AB}"/>
            </a:ext>
          </a:extLst>
        </xdr:cNvPr>
        <xdr:cNvCxnSpPr>
          <a:stCxn id="4" idx="0"/>
          <a:endCxn id="2" idx="2"/>
        </xdr:cNvCxnSpPr>
      </xdr:nvCxnSpPr>
      <xdr:spPr>
        <a:xfrm rot="16200000" flipH="1" flipV="1">
          <a:off x="7596187" y="-706438"/>
          <a:ext cx="358775" cy="4006850"/>
        </a:xfrm>
        <a:prstGeom prst="bentConnector4">
          <a:avLst>
            <a:gd name="adj1" fmla="val -203541"/>
            <a:gd name="adj2" fmla="val 105705"/>
          </a:avLst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501650</xdr:colOff>
      <xdr:row>0</xdr:row>
      <xdr:rowOff>158750</xdr:rowOff>
    </xdr:from>
    <xdr:ext cx="364395" cy="264560"/>
    <xdr:sp macro="" textlink="">
      <xdr:nvSpPr>
        <xdr:cNvPr id="40" name="ZoneTexte 39">
          <a:extLst>
            <a:ext uri="{FF2B5EF4-FFF2-40B4-BE49-F238E27FC236}">
              <a16:creationId xmlns:a16="http://schemas.microsoft.com/office/drawing/2014/main" id="{64CF4D39-1249-33CB-BCC5-CB9273BBB57D}"/>
            </a:ext>
          </a:extLst>
        </xdr:cNvPr>
        <xdr:cNvSpPr txBox="1"/>
      </xdr:nvSpPr>
      <xdr:spPr>
        <a:xfrm>
          <a:off x="7359650" y="1587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0,9</a:t>
          </a:r>
        </a:p>
      </xdr:txBody>
    </xdr:sp>
    <xdr:clientData/>
  </xdr:oneCellAnchor>
  <xdr:twoCellAnchor>
    <xdr:from>
      <xdr:col>13</xdr:col>
      <xdr:colOff>178328</xdr:colOff>
      <xdr:row>8</xdr:row>
      <xdr:rowOff>15875</xdr:rowOff>
    </xdr:from>
    <xdr:to>
      <xdr:col>13</xdr:col>
      <xdr:colOff>304799</xdr:colOff>
      <xdr:row>9</xdr:row>
      <xdr:rowOff>94397</xdr:rowOff>
    </xdr:to>
    <xdr:cxnSp macro="">
      <xdr:nvCxnSpPr>
        <xdr:cNvPr id="42" name="Connecteur : en angle 41">
          <a:extLst>
            <a:ext uri="{FF2B5EF4-FFF2-40B4-BE49-F238E27FC236}">
              <a16:creationId xmlns:a16="http://schemas.microsoft.com/office/drawing/2014/main" id="{0B1A5195-874E-5CC3-BE16-AAF4B32AA710}"/>
            </a:ext>
          </a:extLst>
        </xdr:cNvPr>
        <xdr:cNvCxnSpPr>
          <a:stCxn id="4" idx="5"/>
          <a:endCxn id="4" idx="6"/>
        </xdr:cNvCxnSpPr>
      </xdr:nvCxnSpPr>
      <xdr:spPr>
        <a:xfrm rot="5400000" flipH="1" flipV="1">
          <a:off x="10016228" y="1557175"/>
          <a:ext cx="262672" cy="126471"/>
        </a:xfrm>
        <a:prstGeom prst="bentConnector4">
          <a:avLst>
            <a:gd name="adj1" fmla="val -128450"/>
            <a:gd name="adj2" fmla="val 280753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203200</xdr:colOff>
      <xdr:row>11</xdr:row>
      <xdr:rowOff>50800</xdr:rowOff>
    </xdr:from>
    <xdr:ext cx="364395" cy="264560"/>
    <xdr:sp macro="" textlink="">
      <xdr:nvSpPr>
        <xdr:cNvPr id="43" name="ZoneTexte 42">
          <a:extLst>
            <a:ext uri="{FF2B5EF4-FFF2-40B4-BE49-F238E27FC236}">
              <a16:creationId xmlns:a16="http://schemas.microsoft.com/office/drawing/2014/main" id="{D6B2578C-F223-48D2-E299-9F57763076DA}"/>
            </a:ext>
          </a:extLst>
        </xdr:cNvPr>
        <xdr:cNvSpPr txBox="1"/>
      </xdr:nvSpPr>
      <xdr:spPr>
        <a:xfrm>
          <a:off x="10109200" y="2076450"/>
          <a:ext cx="36439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0,1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91B8-BBFE-4899-93B0-F63D8D072785}">
  <dimension ref="A3:D20"/>
  <sheetViews>
    <sheetView workbookViewId="0">
      <selection activeCell="F20" sqref="F20"/>
    </sheetView>
  </sheetViews>
  <sheetFormatPr baseColWidth="10" defaultRowHeight="14.5" x14ac:dyDescent="0.35"/>
  <cols>
    <col min="1" max="16384" width="10.90625" style="1"/>
  </cols>
  <sheetData>
    <row r="3" spans="1:4" x14ac:dyDescent="0.35">
      <c r="B3" s="1" t="s">
        <v>0</v>
      </c>
    </row>
    <row r="4" spans="1:4" x14ac:dyDescent="0.35">
      <c r="B4" s="1">
        <v>1</v>
      </c>
      <c r="C4" s="1">
        <v>2</v>
      </c>
      <c r="D4" s="1">
        <v>3</v>
      </c>
    </row>
    <row r="5" spans="1:4" x14ac:dyDescent="0.35">
      <c r="B5" s="2">
        <v>0.2</v>
      </c>
      <c r="C5" s="2">
        <v>0.1</v>
      </c>
      <c r="D5" s="2">
        <v>0.7</v>
      </c>
    </row>
    <row r="6" spans="1:4" x14ac:dyDescent="0.35">
      <c r="B6" s="2">
        <v>0.2</v>
      </c>
      <c r="C6" s="2">
        <v>0.3</v>
      </c>
      <c r="D6" s="2">
        <v>0.5</v>
      </c>
    </row>
    <row r="7" spans="1:4" x14ac:dyDescent="0.35">
      <c r="B7" s="2">
        <v>0.9</v>
      </c>
      <c r="C7" s="2">
        <v>0</v>
      </c>
      <c r="D7" s="2">
        <v>0.1</v>
      </c>
    </row>
    <row r="10" spans="1:4" x14ac:dyDescent="0.35">
      <c r="B10" s="1" t="s">
        <v>1</v>
      </c>
    </row>
    <row r="11" spans="1:4" x14ac:dyDescent="0.35">
      <c r="B11" s="1">
        <v>1</v>
      </c>
      <c r="C11" s="1">
        <v>2</v>
      </c>
      <c r="D11" s="1">
        <v>3</v>
      </c>
    </row>
    <row r="12" spans="1:4" x14ac:dyDescent="0.35">
      <c r="B12" s="2">
        <v>1</v>
      </c>
      <c r="C12" s="2">
        <v>0</v>
      </c>
      <c r="D12" s="2">
        <v>0</v>
      </c>
    </row>
    <row r="14" spans="1:4" x14ac:dyDescent="0.35">
      <c r="B14" s="1" t="s">
        <v>28</v>
      </c>
    </row>
    <row r="15" spans="1:4" x14ac:dyDescent="0.35">
      <c r="B15" s="1">
        <v>1</v>
      </c>
      <c r="C15" s="1">
        <v>2</v>
      </c>
      <c r="D15" s="1">
        <v>3</v>
      </c>
    </row>
    <row r="16" spans="1:4" x14ac:dyDescent="0.35">
      <c r="A16" s="1" t="s">
        <v>2</v>
      </c>
      <c r="B16" s="2">
        <v>0</v>
      </c>
      <c r="C16" s="2">
        <v>0</v>
      </c>
      <c r="D16" s="2">
        <v>1</v>
      </c>
    </row>
    <row r="17" spans="1:4" x14ac:dyDescent="0.35">
      <c r="A17" s="1" t="s">
        <v>3</v>
      </c>
      <c r="B17" s="2" cm="1">
        <f t="array" ref="B17:D17">MMULT(B16:D16,$B$5:$D$7)</f>
        <v>0.9</v>
      </c>
      <c r="C17" s="2">
        <v>0</v>
      </c>
      <c r="D17" s="2">
        <v>0.1</v>
      </c>
    </row>
    <row r="18" spans="1:4" x14ac:dyDescent="0.35">
      <c r="A18" s="1" t="s">
        <v>4</v>
      </c>
      <c r="B18" s="2" cm="1">
        <f t="array" ref="B18:D18">MMULT(B17:D17,$B$5:$D$7)</f>
        <v>0.27</v>
      </c>
      <c r="C18" s="2">
        <v>9.0000000000000011E-2</v>
      </c>
      <c r="D18" s="2">
        <v>0.64</v>
      </c>
    </row>
    <row r="19" spans="1:4" x14ac:dyDescent="0.35">
      <c r="A19" s="1" t="s">
        <v>5</v>
      </c>
      <c r="B19" s="2" cm="1">
        <f t="array" ref="B19:D19">MMULT(B18:D18,$B$5:$D$7)</f>
        <v>0.64800000000000013</v>
      </c>
      <c r="C19" s="2">
        <v>5.4000000000000006E-2</v>
      </c>
      <c r="D19" s="2">
        <v>0.29800000000000004</v>
      </c>
    </row>
    <row r="20" spans="1:4" x14ac:dyDescent="0.35">
      <c r="A20" s="1" t="s">
        <v>6</v>
      </c>
      <c r="B20" s="2" cm="1">
        <f t="array" ref="B20:D20">MMULT(B19:D19,$B$5:$D$7)</f>
        <v>0.40860000000000007</v>
      </c>
      <c r="C20" s="2">
        <v>8.1000000000000016E-2</v>
      </c>
      <c r="D20" s="2">
        <v>0.51040000000000008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B46D5-10C8-4D8A-8870-13BD2AB1AD34}">
  <dimension ref="B1:O50"/>
  <sheetViews>
    <sheetView tabSelected="1" topLeftCell="B11" workbookViewId="0">
      <selection activeCell="M21" sqref="M21"/>
    </sheetView>
  </sheetViews>
  <sheetFormatPr baseColWidth="10" defaultRowHeight="14.5" x14ac:dyDescent="0.35"/>
  <cols>
    <col min="1" max="16384" width="10.90625" style="1"/>
  </cols>
  <sheetData>
    <row r="1" spans="2:10" x14ac:dyDescent="0.35">
      <c r="F1" s="3"/>
      <c r="G1" s="3"/>
      <c r="H1" s="3"/>
    </row>
    <row r="2" spans="2:10" ht="26" x14ac:dyDescent="0.6">
      <c r="B2" s="12" t="s">
        <v>18</v>
      </c>
      <c r="F2" s="3"/>
      <c r="G2" s="3"/>
      <c r="H2" s="3"/>
    </row>
    <row r="3" spans="2:10" x14ac:dyDescent="0.35">
      <c r="F3" s="3"/>
      <c r="G3" s="3"/>
      <c r="H3" s="3"/>
      <c r="I3" s="11" t="s">
        <v>17</v>
      </c>
    </row>
    <row r="4" spans="2:10" ht="23.5" x14ac:dyDescent="0.55000000000000004">
      <c r="E4" s="9" t="s">
        <v>16</v>
      </c>
    </row>
    <row r="7" spans="2:10" x14ac:dyDescent="0.35">
      <c r="C7" s="3"/>
      <c r="D7" s="1" t="s">
        <v>19</v>
      </c>
      <c r="I7" s="3"/>
    </row>
    <row r="8" spans="2:10" x14ac:dyDescent="0.35">
      <c r="C8" s="3"/>
      <c r="D8" s="1" t="s">
        <v>20</v>
      </c>
      <c r="I8" s="3"/>
    </row>
    <row r="9" spans="2:10" x14ac:dyDescent="0.35">
      <c r="C9" s="3"/>
      <c r="I9" s="3"/>
    </row>
    <row r="10" spans="2:10" x14ac:dyDescent="0.35">
      <c r="C10" s="3"/>
      <c r="D10" s="10"/>
      <c r="I10" s="3"/>
      <c r="J10" s="10"/>
    </row>
    <row r="11" spans="2:10" x14ac:dyDescent="0.35">
      <c r="C11" s="3"/>
      <c r="I11" s="3"/>
    </row>
    <row r="12" spans="2:10" x14ac:dyDescent="0.35">
      <c r="C12" s="3"/>
      <c r="I12" s="3"/>
    </row>
    <row r="14" spans="2:10" ht="23.5" x14ac:dyDescent="0.55000000000000004">
      <c r="E14" s="9" t="s">
        <v>15</v>
      </c>
    </row>
    <row r="18" spans="4:13" x14ac:dyDescent="0.35">
      <c r="D18" s="1" t="s">
        <v>39</v>
      </c>
      <c r="G18" s="1" t="s">
        <v>14</v>
      </c>
      <c r="M18" s="1" t="s">
        <v>40</v>
      </c>
    </row>
    <row r="19" spans="4:13" x14ac:dyDescent="0.35">
      <c r="M19" s="1" t="s">
        <v>41</v>
      </c>
    </row>
    <row r="20" spans="4:13" x14ac:dyDescent="0.35">
      <c r="D20" s="1" t="s">
        <v>29</v>
      </c>
      <c r="G20" s="1" t="s">
        <v>34</v>
      </c>
    </row>
    <row r="21" spans="4:13" x14ac:dyDescent="0.35">
      <c r="D21" s="1" t="s">
        <v>30</v>
      </c>
      <c r="G21" s="1" t="s">
        <v>35</v>
      </c>
    </row>
    <row r="22" spans="4:13" x14ac:dyDescent="0.35">
      <c r="D22" s="1" t="s">
        <v>31</v>
      </c>
      <c r="G22" s="1" t="s">
        <v>36</v>
      </c>
    </row>
    <row r="23" spans="4:13" x14ac:dyDescent="0.35">
      <c r="D23" s="1" t="s">
        <v>32</v>
      </c>
      <c r="G23" s="1" t="s">
        <v>37</v>
      </c>
    </row>
    <row r="24" spans="4:13" x14ac:dyDescent="0.35">
      <c r="D24" s="1" t="s">
        <v>33</v>
      </c>
      <c r="G24" s="1" t="s">
        <v>38</v>
      </c>
    </row>
    <row r="29" spans="4:13" ht="23.5" x14ac:dyDescent="0.55000000000000004">
      <c r="E29" s="9" t="s">
        <v>13</v>
      </c>
    </row>
    <row r="32" spans="4:13" x14ac:dyDescent="0.35">
      <c r="H32" s="13"/>
      <c r="I32" s="13"/>
      <c r="J32" s="13"/>
    </row>
    <row r="33" spans="4:15" x14ac:dyDescent="0.35">
      <c r="F33" s="6" t="s">
        <v>21</v>
      </c>
      <c r="G33" s="6" t="s">
        <v>22</v>
      </c>
      <c r="H33" s="14"/>
      <c r="I33" s="14"/>
      <c r="J33" s="13"/>
    </row>
    <row r="34" spans="4:15" x14ac:dyDescent="0.35">
      <c r="D34" s="1" t="s">
        <v>12</v>
      </c>
      <c r="F34" s="8">
        <v>2</v>
      </c>
      <c r="G34" s="8">
        <v>0</v>
      </c>
      <c r="H34" s="15"/>
      <c r="I34" s="15"/>
      <c r="J34" s="13"/>
    </row>
    <row r="35" spans="4:15" x14ac:dyDescent="0.35">
      <c r="F35" s="3"/>
      <c r="G35" s="3"/>
      <c r="H35" s="14"/>
      <c r="I35" s="14"/>
      <c r="J35" s="13"/>
    </row>
    <row r="36" spans="4:15" x14ac:dyDescent="0.35">
      <c r="F36" s="6" t="str">
        <f>F33</f>
        <v>X</v>
      </c>
      <c r="G36" s="6" t="str">
        <f>G33</f>
        <v>Y</v>
      </c>
      <c r="H36" s="14"/>
      <c r="I36" s="14"/>
    </row>
    <row r="37" spans="4:15" x14ac:dyDescent="0.35">
      <c r="D37" s="1" t="s">
        <v>11</v>
      </c>
      <c r="E37" s="1" t="s">
        <v>10</v>
      </c>
      <c r="F37" s="6">
        <v>250</v>
      </c>
      <c r="G37" s="6">
        <v>100</v>
      </c>
      <c r="H37" s="14"/>
      <c r="I37" s="14"/>
    </row>
    <row r="38" spans="4:15" x14ac:dyDescent="0.35">
      <c r="D38" s="1" t="s">
        <v>9</v>
      </c>
      <c r="E38" s="7">
        <f>(F37*F34)+(G37*G34)</f>
        <v>500</v>
      </c>
      <c r="H38" s="3"/>
      <c r="I38" s="3"/>
    </row>
    <row r="40" spans="4:15" x14ac:dyDescent="0.35">
      <c r="N40" s="13"/>
      <c r="O40" s="13"/>
    </row>
    <row r="41" spans="4:15" x14ac:dyDescent="0.35">
      <c r="N41" s="14"/>
      <c r="O41" s="14"/>
    </row>
    <row r="42" spans="4:15" x14ac:dyDescent="0.35">
      <c r="G42" s="3"/>
      <c r="H42" s="3"/>
      <c r="I42" s="3"/>
      <c r="N42" s="13"/>
      <c r="O42" s="13"/>
    </row>
    <row r="43" spans="4:15" x14ac:dyDescent="0.35">
      <c r="E43" s="6" t="str">
        <f>F36</f>
        <v>X</v>
      </c>
      <c r="F43" s="6" t="str">
        <f>G36</f>
        <v>Y</v>
      </c>
      <c r="G43" s="5" t="s">
        <v>8</v>
      </c>
      <c r="H43" s="4" t="s">
        <v>7</v>
      </c>
      <c r="N43" s="13"/>
      <c r="O43" s="13"/>
    </row>
    <row r="44" spans="4:15" x14ac:dyDescent="0.35">
      <c r="D44" s="1" t="s">
        <v>23</v>
      </c>
      <c r="E44" s="6">
        <v>2</v>
      </c>
      <c r="F44" s="6">
        <v>3</v>
      </c>
      <c r="G44" s="5">
        <f>(F44*$G$34)+(E44*$F$34)</f>
        <v>4</v>
      </c>
      <c r="H44" s="4">
        <v>21</v>
      </c>
      <c r="N44" s="13"/>
      <c r="O44" s="13"/>
    </row>
    <row r="45" spans="4:15" x14ac:dyDescent="0.35">
      <c r="D45" s="1" t="s">
        <v>24</v>
      </c>
      <c r="E45" s="6">
        <v>5</v>
      </c>
      <c r="F45" s="6">
        <v>2</v>
      </c>
      <c r="G45" s="5">
        <f t="shared" ref="G45:G48" si="0">(F45*$G$34)+(E45*$F$34)</f>
        <v>10</v>
      </c>
      <c r="H45" s="4">
        <v>10</v>
      </c>
      <c r="N45" s="13"/>
      <c r="O45" s="13"/>
    </row>
    <row r="46" spans="4:15" x14ac:dyDescent="0.35">
      <c r="D46" s="1" t="s">
        <v>25</v>
      </c>
      <c r="E46" s="6">
        <v>5</v>
      </c>
      <c r="F46" s="6">
        <v>0</v>
      </c>
      <c r="G46" s="5">
        <f t="shared" si="0"/>
        <v>10</v>
      </c>
      <c r="H46" s="4">
        <v>12</v>
      </c>
      <c r="N46" s="13"/>
      <c r="O46" s="13"/>
    </row>
    <row r="47" spans="4:15" x14ac:dyDescent="0.35">
      <c r="D47" s="1" t="s">
        <v>26</v>
      </c>
      <c r="E47" s="6">
        <v>2</v>
      </c>
      <c r="F47" s="6">
        <v>1</v>
      </c>
      <c r="G47" s="5">
        <f t="shared" si="0"/>
        <v>4</v>
      </c>
      <c r="H47" s="4">
        <v>8</v>
      </c>
      <c r="N47" s="13"/>
      <c r="O47" s="13"/>
    </row>
    <row r="48" spans="4:15" x14ac:dyDescent="0.35">
      <c r="D48" s="1" t="s">
        <v>27</v>
      </c>
      <c r="E48" s="6">
        <v>1</v>
      </c>
      <c r="F48" s="6">
        <v>2</v>
      </c>
      <c r="G48" s="5">
        <f t="shared" si="0"/>
        <v>2</v>
      </c>
      <c r="H48" s="4">
        <v>6</v>
      </c>
    </row>
    <row r="49" spans="7:9" x14ac:dyDescent="0.35">
      <c r="G49" s="3"/>
      <c r="H49" s="3"/>
      <c r="I49" s="3"/>
    </row>
    <row r="50" spans="7:9" x14ac:dyDescent="0.35">
      <c r="G50" s="3"/>
      <c r="H50" s="3"/>
      <c r="I5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Exercice 4</vt:lpstr>
      <vt:lpstr>Exercice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Torrenti</dc:creator>
  <cp:lastModifiedBy>Sylvain Torrenti</cp:lastModifiedBy>
  <dcterms:created xsi:type="dcterms:W3CDTF">2025-03-18T08:06:34Z</dcterms:created>
  <dcterms:modified xsi:type="dcterms:W3CDTF">2025-03-18T08:54:43Z</dcterms:modified>
</cp:coreProperties>
</file>