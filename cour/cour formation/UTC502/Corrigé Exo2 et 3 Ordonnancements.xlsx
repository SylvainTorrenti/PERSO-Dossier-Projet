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PPORT\FORMATIONS\UTC502\"/>
    </mc:Choice>
  </mc:AlternateContent>
  <xr:revisionPtr revIDLastSave="0" documentId="13_ncr:1_{43B9BF9D-EC7F-446A-95F1-0982A2E5C4F7}" xr6:coauthVersionLast="47" xr6:coauthVersionMax="47" xr10:uidLastSave="{00000000-0000-0000-0000-000000000000}"/>
  <bookViews>
    <workbookView xWindow="924" yWindow="540" windowWidth="21600" windowHeight="11772" xr2:uid="{19540588-5993-48DD-923D-620DC857C243}"/>
  </bookViews>
  <sheets>
    <sheet name="Exercice 2" sheetId="2" r:id="rId1"/>
    <sheet name="Exercice 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3" l="1"/>
  <c r="M13" i="3" s="1"/>
  <c r="E9" i="3"/>
  <c r="F9" i="3" s="1"/>
  <c r="G9" i="3" s="1"/>
  <c r="H9" i="3" s="1"/>
  <c r="D49" i="2"/>
  <c r="E46" i="2"/>
  <c r="G46" i="2" s="1"/>
  <c r="D39" i="2"/>
  <c r="E36" i="2"/>
  <c r="E39" i="2" s="1"/>
  <c r="D30" i="2"/>
  <c r="E26" i="2"/>
  <c r="E30" i="2" s="1"/>
  <c r="R15" i="2"/>
  <c r="D15" i="2"/>
  <c r="R14" i="2"/>
  <c r="E13" i="2"/>
  <c r="G13" i="2" s="1"/>
  <c r="R8" i="2"/>
  <c r="D8" i="2"/>
  <c r="R7" i="2"/>
  <c r="G6" i="2"/>
  <c r="H8" i="2" s="1"/>
  <c r="E6" i="2"/>
  <c r="F8" i="2" s="1"/>
  <c r="I6" i="2" l="1"/>
  <c r="G36" i="2"/>
  <c r="F39" i="2" s="1"/>
  <c r="D7" i="2"/>
  <c r="G26" i="2"/>
  <c r="I26" i="2" s="1"/>
  <c r="I9" i="3"/>
  <c r="J9" i="3" s="1"/>
  <c r="E14" i="3"/>
  <c r="G30" i="2"/>
  <c r="K26" i="2"/>
  <c r="I13" i="2"/>
  <c r="H15" i="2"/>
  <c r="F14" i="2"/>
  <c r="I46" i="2"/>
  <c r="F49" i="2"/>
  <c r="F47" i="2"/>
  <c r="D14" i="2"/>
  <c r="F15" i="2"/>
  <c r="D47" i="2"/>
  <c r="E49" i="2"/>
  <c r="F7" i="2"/>
  <c r="F27" i="2"/>
  <c r="I36" i="2"/>
  <c r="H7" i="2"/>
  <c r="F37" i="2"/>
  <c r="F30" i="2" l="1"/>
  <c r="J8" i="2"/>
  <c r="K6" i="2"/>
  <c r="E11" i="3"/>
  <c r="K9" i="3"/>
  <c r="L9" i="3" s="1"/>
  <c r="M9" i="3" s="1"/>
  <c r="K36" i="2"/>
  <c r="G39" i="2"/>
  <c r="K13" i="2"/>
  <c r="H14" i="2"/>
  <c r="J15" i="2"/>
  <c r="H30" i="2"/>
  <c r="M26" i="2"/>
  <c r="K46" i="2"/>
  <c r="M46" i="2" s="1"/>
  <c r="G49" i="2"/>
  <c r="L8" i="2" l="1"/>
  <c r="J7" i="2"/>
  <c r="M6" i="2"/>
  <c r="E15" i="3"/>
  <c r="N9" i="3"/>
  <c r="M13" i="2"/>
  <c r="L15" i="2"/>
  <c r="J14" i="2"/>
  <c r="O26" i="2"/>
  <c r="I30" i="2"/>
  <c r="C30" i="2" s="1"/>
  <c r="M36" i="2"/>
  <c r="H39" i="2"/>
  <c r="L47" i="2"/>
  <c r="O46" i="2"/>
  <c r="O6" i="2" l="1"/>
  <c r="N7" i="2" s="1"/>
  <c r="N8" i="2"/>
  <c r="T8" i="2" s="1"/>
  <c r="L7" i="2"/>
  <c r="T7" i="2" s="1"/>
  <c r="O9" i="3"/>
  <c r="P9" i="3" s="1"/>
  <c r="E13" i="3" s="1"/>
  <c r="E12" i="3"/>
  <c r="H49" i="2"/>
  <c r="N47" i="2"/>
  <c r="Q46" i="2"/>
  <c r="N27" i="2"/>
  <c r="Q26" i="2"/>
  <c r="S26" i="2" s="1"/>
  <c r="O36" i="2"/>
  <c r="Q36" i="2" s="1"/>
  <c r="S36" i="2" s="1"/>
  <c r="U36" i="2" s="1"/>
  <c r="W36" i="2" s="1"/>
  <c r="Y36" i="2" s="1"/>
  <c r="I39" i="2"/>
  <c r="C39" i="2" s="1"/>
  <c r="N15" i="2"/>
  <c r="T15" i="2" s="1"/>
  <c r="L14" i="2"/>
  <c r="O13" i="2"/>
  <c r="N14" i="2" s="1"/>
  <c r="T14" i="2" l="1"/>
  <c r="J12" i="3"/>
  <c r="M12" i="3" s="1"/>
  <c r="X37" i="2"/>
  <c r="AA36" i="2"/>
  <c r="AC36" i="2" s="1"/>
  <c r="AE36" i="2" s="1"/>
  <c r="AG36" i="2" s="1"/>
  <c r="R27" i="2"/>
  <c r="U26" i="2"/>
  <c r="W26" i="2" s="1"/>
  <c r="I49" i="2"/>
  <c r="C49" i="2" s="1"/>
  <c r="S46" i="2"/>
  <c r="U46" i="2" s="1"/>
  <c r="W46" i="2" s="1"/>
  <c r="Y46" i="2" s="1"/>
  <c r="X47" i="2" l="1"/>
  <c r="AA46" i="2"/>
  <c r="AC46" i="2" s="1"/>
  <c r="AE46" i="2" s="1"/>
  <c r="AG46" i="2" s="1"/>
  <c r="AF47" i="2" s="1"/>
  <c r="C48" i="2" s="1"/>
  <c r="V27" i="2"/>
  <c r="Y26" i="2"/>
  <c r="AF37" i="2"/>
  <c r="AI36" i="2"/>
  <c r="AK36" i="2" s="1"/>
  <c r="AM36" i="2" l="1"/>
  <c r="AO36" i="2" s="1"/>
  <c r="AJ37" i="2"/>
  <c r="AA26" i="2"/>
  <c r="AC26" i="2" s="1"/>
  <c r="AE26" i="2" s="1"/>
  <c r="AG26" i="2" s="1"/>
  <c r="AF27" i="2" s="1"/>
  <c r="C29" i="2" s="1"/>
  <c r="X27" i="2"/>
  <c r="AQ36" i="2" l="1"/>
  <c r="AS36" i="2" s="1"/>
  <c r="AU36" i="2" s="1"/>
  <c r="AW36" i="2" s="1"/>
  <c r="AY36" i="2" s="1"/>
  <c r="BA36" i="2" s="1"/>
  <c r="BC36" i="2" s="1"/>
  <c r="BE36" i="2" s="1"/>
  <c r="BD37" i="2" s="1"/>
  <c r="C38" i="2" s="1"/>
  <c r="AN37" i="2"/>
</calcChain>
</file>

<file path=xl/sharedStrings.xml><?xml version="1.0" encoding="utf-8"?>
<sst xmlns="http://schemas.openxmlformats.org/spreadsheetml/2006/main" count="158" uniqueCount="44">
  <si>
    <t>Hyp. T=15</t>
  </si>
  <si>
    <t>Durée</t>
  </si>
  <si>
    <t>Arrivée</t>
  </si>
  <si>
    <t>FIFO</t>
  </si>
  <si>
    <t>A</t>
  </si>
  <si>
    <t>B</t>
  </si>
  <si>
    <t>C</t>
  </si>
  <si>
    <t>D</t>
  </si>
  <si>
    <t>E</t>
  </si>
  <si>
    <t>F</t>
  </si>
  <si>
    <t>Tps Traitement</t>
  </si>
  <si>
    <t>/</t>
  </si>
  <si>
    <t>Tps Attente</t>
  </si>
  <si>
    <t>SJF</t>
  </si>
  <si>
    <t>TOURNIQUET</t>
  </si>
  <si>
    <t>Hyp. T=</t>
  </si>
  <si>
    <t>Quantum</t>
  </si>
  <si>
    <t>Dureé Proc</t>
  </si>
  <si>
    <t>Debut Trt</t>
  </si>
  <si>
    <t xml:space="preserve">Temps de traitement </t>
  </si>
  <si>
    <t>Temps d'attente</t>
  </si>
  <si>
    <t xml:space="preserve"> </t>
  </si>
  <si>
    <t>SRT</t>
  </si>
  <si>
    <t>Temps d attente</t>
  </si>
  <si>
    <t>Q1</t>
  </si>
  <si>
    <t>EDCBA</t>
  </si>
  <si>
    <t>EDCB</t>
  </si>
  <si>
    <t>EDC</t>
  </si>
  <si>
    <t>ED</t>
  </si>
  <si>
    <t>Q2</t>
  </si>
  <si>
    <t>BA</t>
  </si>
  <si>
    <t>CBA</t>
  </si>
  <si>
    <t>ECBA</t>
  </si>
  <si>
    <t>ECB</t>
  </si>
  <si>
    <t>EC</t>
  </si>
  <si>
    <t>Q3</t>
  </si>
  <si>
    <t>CB</t>
  </si>
  <si>
    <t>Hypothese Processeur demande immediatement autre process si process terminé au milieu du Quantum</t>
  </si>
  <si>
    <t>Elu</t>
  </si>
  <si>
    <t>Duree</t>
  </si>
  <si>
    <t>Fin</t>
  </si>
  <si>
    <t>Fin Traite</t>
  </si>
  <si>
    <t>Attente</t>
  </si>
  <si>
    <t>Excercice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</si>
</sst>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 applyAlignment="1">
      <alignment horizontal="center"/>
    </xf>
    <xf numFmtId="0" fontId="1" fillId="0" borderId="0" xfId="1" quotePrefix="1"/>
    <xf numFmtId="0" fontId="1" fillId="0" borderId="1" xfId="1" applyBorder="1" applyAlignment="1">
      <alignment horizontal="center"/>
    </xf>
    <xf numFmtId="16" fontId="1" fillId="0" borderId="0" xfId="1" quotePrefix="1" applyNumberFormat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2" borderId="0" xfId="1" applyFill="1" applyAlignment="1">
      <alignment horizontal="center"/>
    </xf>
    <xf numFmtId="0" fontId="3" fillId="2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0" xfId="1" applyAlignment="1">
      <alignment horizontal="left"/>
    </xf>
    <xf numFmtId="0" fontId="1" fillId="0" borderId="0" xfId="1" quotePrefix="1" applyAlignment="1">
      <alignment horizontal="center"/>
    </xf>
    <xf numFmtId="0" fontId="3" fillId="0" borderId="0" xfId="1" applyFont="1"/>
  </cellXfs>
  <cellStyles count="2">
    <cellStyle name="Normal" xfId="0" builtinId="0"/>
    <cellStyle name="Normal 2" xfId="1" xr:uid="{9D0E04BC-968B-46BA-9891-A4FFA971B1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4DA4-D429-427D-A7E5-8992F6343E2D}">
  <dimension ref="B1:BE49"/>
  <sheetViews>
    <sheetView showGridLines="0" tabSelected="1" topLeftCell="A25" workbookViewId="0">
      <selection activeCell="B9" sqref="B9"/>
    </sheetView>
  </sheetViews>
  <sheetFormatPr baseColWidth="10" defaultColWidth="11.44140625" defaultRowHeight="13.2" x14ac:dyDescent="0.25"/>
  <cols>
    <col min="1" max="1" width="2.33203125" style="1" customWidth="1"/>
    <col min="2" max="2" width="17.88671875" style="1" customWidth="1"/>
    <col min="3" max="3" width="4.33203125" style="1" customWidth="1"/>
    <col min="4" max="18" width="3" style="1" customWidth="1"/>
    <col min="19" max="19" width="13.88671875" style="1" customWidth="1"/>
    <col min="20" max="20" width="5.109375" style="1" customWidth="1"/>
    <col min="21" max="57" width="3" style="1" customWidth="1"/>
    <col min="58" max="16384" width="11.44140625" style="1"/>
  </cols>
  <sheetData>
    <row r="1" spans="2:23" x14ac:dyDescent="0.25">
      <c r="B1" s="1" t="s">
        <v>43</v>
      </c>
    </row>
    <row r="2" spans="2:23" x14ac:dyDescent="0.25">
      <c r="B2" s="2" t="s">
        <v>0</v>
      </c>
    </row>
    <row r="3" spans="2:23" x14ac:dyDescent="0.25">
      <c r="B3" s="2" t="s">
        <v>1</v>
      </c>
      <c r="D3" s="3">
        <v>5</v>
      </c>
      <c r="E3" s="3"/>
      <c r="F3" s="3">
        <v>1</v>
      </c>
      <c r="G3" s="3"/>
      <c r="H3" s="3">
        <v>4</v>
      </c>
      <c r="I3" s="3"/>
      <c r="J3" s="3">
        <v>12</v>
      </c>
      <c r="K3" s="3"/>
      <c r="L3" s="3">
        <v>3</v>
      </c>
      <c r="M3" s="3"/>
      <c r="N3" s="3">
        <v>2</v>
      </c>
    </row>
    <row r="4" spans="2:23" x14ac:dyDescent="0.25">
      <c r="B4" s="1" t="s">
        <v>2</v>
      </c>
      <c r="C4" s="3"/>
      <c r="D4" s="3">
        <v>0</v>
      </c>
      <c r="E4" s="3"/>
      <c r="F4" s="3">
        <v>2</v>
      </c>
      <c r="G4" s="3"/>
      <c r="H4" s="3">
        <v>3</v>
      </c>
      <c r="I4" s="3"/>
      <c r="J4" s="3">
        <v>5</v>
      </c>
      <c r="K4" s="3"/>
      <c r="L4" s="3">
        <v>10</v>
      </c>
      <c r="M4" s="3"/>
      <c r="N4" s="3">
        <v>15</v>
      </c>
      <c r="O4" s="3"/>
    </row>
    <row r="5" spans="2:23" x14ac:dyDescent="0.25">
      <c r="B5" s="1" t="s">
        <v>3</v>
      </c>
      <c r="C5" s="3"/>
      <c r="D5" s="3" t="s">
        <v>4</v>
      </c>
      <c r="E5" s="3"/>
      <c r="F5" s="3" t="s">
        <v>5</v>
      </c>
      <c r="G5" s="3"/>
      <c r="H5" s="3" t="s">
        <v>6</v>
      </c>
      <c r="I5" s="3"/>
      <c r="J5" s="3" t="s">
        <v>7</v>
      </c>
      <c r="K5" s="3"/>
      <c r="L5" s="3" t="s">
        <v>8</v>
      </c>
      <c r="M5" s="3"/>
      <c r="N5" s="3" t="s">
        <v>9</v>
      </c>
      <c r="O5" s="3"/>
      <c r="T5" s="4"/>
    </row>
    <row r="6" spans="2:23" x14ac:dyDescent="0.25">
      <c r="C6" s="5">
        <v>15</v>
      </c>
      <c r="D6" s="5"/>
      <c r="E6" s="5">
        <f>C6+D3</f>
        <v>20</v>
      </c>
      <c r="F6" s="5"/>
      <c r="G6" s="5">
        <f>E6+F3</f>
        <v>21</v>
      </c>
      <c r="H6" s="5"/>
      <c r="I6" s="5">
        <f>G6+H3</f>
        <v>25</v>
      </c>
      <c r="J6" s="5"/>
      <c r="K6" s="5">
        <f>I6+J3</f>
        <v>37</v>
      </c>
      <c r="L6" s="5"/>
      <c r="M6" s="5">
        <f>K6+L3</f>
        <v>40</v>
      </c>
      <c r="N6" s="5"/>
      <c r="O6" s="5">
        <f>M6+N3</f>
        <v>42</v>
      </c>
    </row>
    <row r="7" spans="2:23" x14ac:dyDescent="0.25">
      <c r="B7" s="1" t="s">
        <v>10</v>
      </c>
      <c r="C7" s="3"/>
      <c r="D7" s="3">
        <f>E6-D4</f>
        <v>20</v>
      </c>
      <c r="E7" s="3"/>
      <c r="F7" s="3">
        <f>G6-F4</f>
        <v>19</v>
      </c>
      <c r="G7" s="3"/>
      <c r="H7" s="3">
        <f>I6-H4</f>
        <v>22</v>
      </c>
      <c r="I7" s="3"/>
      <c r="J7" s="3">
        <f>K6-J4</f>
        <v>32</v>
      </c>
      <c r="K7" s="3"/>
      <c r="L7" s="3">
        <f>M6-L4</f>
        <v>30</v>
      </c>
      <c r="M7" s="3"/>
      <c r="N7" s="3">
        <f>O6-N4</f>
        <v>27</v>
      </c>
      <c r="O7" s="3"/>
      <c r="R7" s="1" t="str">
        <f>B7</f>
        <v>Tps Traitement</v>
      </c>
      <c r="T7" s="1">
        <f>SUM(D7:O7)</f>
        <v>150</v>
      </c>
      <c r="U7" s="4" t="s">
        <v>11</v>
      </c>
      <c r="V7" s="1">
        <v>6</v>
      </c>
    </row>
    <row r="8" spans="2:23" x14ac:dyDescent="0.25">
      <c r="B8" s="1" t="s">
        <v>12</v>
      </c>
      <c r="C8" s="3"/>
      <c r="D8" s="3">
        <f>C6-D4</f>
        <v>15</v>
      </c>
      <c r="E8" s="3"/>
      <c r="F8" s="3">
        <f>E6-F4</f>
        <v>18</v>
      </c>
      <c r="G8" s="3"/>
      <c r="H8" s="3">
        <f>G6-H4</f>
        <v>18</v>
      </c>
      <c r="I8" s="3"/>
      <c r="J8" s="3">
        <f>I6-J4</f>
        <v>20</v>
      </c>
      <c r="K8" s="3"/>
      <c r="L8" s="3">
        <f>K6-L4</f>
        <v>27</v>
      </c>
      <c r="M8" s="3"/>
      <c r="N8" s="3">
        <f>M6-N4</f>
        <v>25</v>
      </c>
      <c r="O8" s="3"/>
      <c r="R8" s="1" t="str">
        <f>B8</f>
        <v>Tps Attente</v>
      </c>
      <c r="T8" s="1">
        <f>SUM(D8:O8)</f>
        <v>123</v>
      </c>
      <c r="U8" s="4" t="s">
        <v>11</v>
      </c>
      <c r="V8" s="1">
        <v>6</v>
      </c>
    </row>
    <row r="10" spans="2:23" x14ac:dyDescent="0.25">
      <c r="B10" s="2" t="s">
        <v>1</v>
      </c>
      <c r="D10" s="3">
        <v>1</v>
      </c>
      <c r="E10" s="3"/>
      <c r="F10" s="3">
        <v>2</v>
      </c>
      <c r="G10" s="3"/>
      <c r="H10" s="3">
        <v>3</v>
      </c>
      <c r="I10" s="3"/>
      <c r="J10" s="3">
        <v>4</v>
      </c>
      <c r="K10" s="3"/>
      <c r="L10" s="3">
        <v>5</v>
      </c>
      <c r="M10" s="3"/>
      <c r="N10" s="3">
        <v>12</v>
      </c>
    </row>
    <row r="11" spans="2:23" x14ac:dyDescent="0.25">
      <c r="B11" s="1" t="s">
        <v>2</v>
      </c>
      <c r="D11" s="3">
        <v>2</v>
      </c>
      <c r="E11" s="3"/>
      <c r="F11" s="3">
        <v>15</v>
      </c>
      <c r="G11" s="3"/>
      <c r="H11" s="3">
        <v>10</v>
      </c>
      <c r="I11" s="3"/>
      <c r="J11" s="3">
        <v>3</v>
      </c>
      <c r="K11" s="3"/>
      <c r="L11" s="3">
        <v>0</v>
      </c>
      <c r="M11" s="3"/>
      <c r="N11" s="3">
        <v>5</v>
      </c>
    </row>
    <row r="12" spans="2:23" x14ac:dyDescent="0.25">
      <c r="B12" s="1" t="s">
        <v>13</v>
      </c>
      <c r="C12" s="3"/>
      <c r="D12" s="3" t="s">
        <v>5</v>
      </c>
      <c r="E12" s="3"/>
      <c r="F12" s="3" t="s">
        <v>9</v>
      </c>
      <c r="G12" s="3"/>
      <c r="H12" s="3" t="s">
        <v>8</v>
      </c>
      <c r="I12" s="3"/>
      <c r="J12" s="3" t="s">
        <v>6</v>
      </c>
      <c r="K12" s="3"/>
      <c r="L12" s="3" t="s">
        <v>4</v>
      </c>
      <c r="M12" s="3"/>
      <c r="N12" s="3" t="s">
        <v>7</v>
      </c>
      <c r="O12" s="3"/>
      <c r="T12" s="4"/>
      <c r="W12" s="6"/>
    </row>
    <row r="13" spans="2:23" x14ac:dyDescent="0.25">
      <c r="C13" s="5">
        <v>15</v>
      </c>
      <c r="D13" s="5"/>
      <c r="E13" s="5">
        <f>C13+D10</f>
        <v>16</v>
      </c>
      <c r="F13" s="5"/>
      <c r="G13" s="5">
        <f>E13+F10</f>
        <v>18</v>
      </c>
      <c r="H13" s="5"/>
      <c r="I13" s="5">
        <f>G13+H10</f>
        <v>21</v>
      </c>
      <c r="J13" s="5"/>
      <c r="K13" s="5">
        <f>I13+J10</f>
        <v>25</v>
      </c>
      <c r="L13" s="5"/>
      <c r="M13" s="5">
        <f>K13+L10</f>
        <v>30</v>
      </c>
      <c r="N13" s="5"/>
      <c r="O13" s="5">
        <f>M13+N10</f>
        <v>42</v>
      </c>
    </row>
    <row r="14" spans="2:23" x14ac:dyDescent="0.25">
      <c r="B14" s="1" t="s">
        <v>10</v>
      </c>
      <c r="C14" s="3"/>
      <c r="D14" s="3">
        <f>E13-D11</f>
        <v>14</v>
      </c>
      <c r="E14" s="3"/>
      <c r="F14" s="3">
        <f>G13-F11</f>
        <v>3</v>
      </c>
      <c r="G14" s="3"/>
      <c r="H14" s="3">
        <f>I13-H11</f>
        <v>11</v>
      </c>
      <c r="I14" s="3"/>
      <c r="J14" s="3">
        <f>K13-J11</f>
        <v>22</v>
      </c>
      <c r="K14" s="3"/>
      <c r="L14" s="3">
        <f>M13-L11</f>
        <v>30</v>
      </c>
      <c r="M14" s="3"/>
      <c r="N14" s="3">
        <f>O13-N11</f>
        <v>37</v>
      </c>
      <c r="O14" s="3"/>
      <c r="R14" s="1" t="str">
        <f>B14</f>
        <v>Tps Traitement</v>
      </c>
      <c r="T14" s="1">
        <f>SUM(D14:O14)</f>
        <v>117</v>
      </c>
      <c r="U14" s="4" t="s">
        <v>11</v>
      </c>
      <c r="V14" s="1">
        <v>6</v>
      </c>
    </row>
    <row r="15" spans="2:23" x14ac:dyDescent="0.25">
      <c r="B15" s="1" t="s">
        <v>12</v>
      </c>
      <c r="C15" s="3"/>
      <c r="D15" s="3">
        <f>C13-D11</f>
        <v>13</v>
      </c>
      <c r="E15" s="3"/>
      <c r="F15" s="3">
        <f>E13-F11</f>
        <v>1</v>
      </c>
      <c r="G15" s="3"/>
      <c r="H15" s="3">
        <f>G13-H11</f>
        <v>8</v>
      </c>
      <c r="I15" s="3"/>
      <c r="J15" s="3">
        <f>I13-J11</f>
        <v>18</v>
      </c>
      <c r="K15" s="3"/>
      <c r="L15" s="3">
        <f>K13-L11</f>
        <v>25</v>
      </c>
      <c r="M15" s="3"/>
      <c r="N15" s="3">
        <f>M13-N11</f>
        <v>25</v>
      </c>
      <c r="O15" s="3"/>
      <c r="R15" s="1" t="str">
        <f>B15</f>
        <v>Tps Attente</v>
      </c>
      <c r="T15" s="1">
        <f>SUM(D15:O15)</f>
        <v>90</v>
      </c>
      <c r="U15" s="4" t="s">
        <v>11</v>
      </c>
      <c r="V15" s="1">
        <v>6</v>
      </c>
    </row>
    <row r="17" spans="2:37" x14ac:dyDescent="0.2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20" spans="2:37" x14ac:dyDescent="0.25">
      <c r="B20" s="7" t="s">
        <v>14</v>
      </c>
      <c r="C20" s="8"/>
      <c r="D20" s="9"/>
    </row>
    <row r="21" spans="2:37" x14ac:dyDescent="0.25">
      <c r="B21" s="2" t="s">
        <v>15</v>
      </c>
      <c r="C21" s="1">
        <v>15</v>
      </c>
    </row>
    <row r="22" spans="2:37" x14ac:dyDescent="0.25">
      <c r="B22" s="1" t="s">
        <v>16</v>
      </c>
      <c r="C22" s="1">
        <v>2</v>
      </c>
    </row>
    <row r="23" spans="2:37" x14ac:dyDescent="0.25">
      <c r="B23" s="2" t="s">
        <v>1</v>
      </c>
      <c r="C23" s="3"/>
      <c r="D23" s="3">
        <v>5</v>
      </c>
      <c r="E23" s="3"/>
      <c r="F23" s="3">
        <v>1</v>
      </c>
      <c r="G23" s="3"/>
      <c r="H23" s="3">
        <v>4</v>
      </c>
      <c r="I23" s="3"/>
      <c r="J23" s="3">
        <v>12</v>
      </c>
      <c r="K23" s="3"/>
      <c r="L23" s="3">
        <v>3</v>
      </c>
      <c r="M23" s="3"/>
      <c r="N23" s="3">
        <v>2</v>
      </c>
      <c r="O23" s="3"/>
      <c r="P23" s="3">
        <v>3</v>
      </c>
      <c r="Q23" s="3"/>
      <c r="R23" s="3">
        <v>2</v>
      </c>
      <c r="S23" s="3"/>
      <c r="T23" s="3">
        <v>10</v>
      </c>
      <c r="U23" s="3"/>
      <c r="V23" s="3">
        <v>1</v>
      </c>
      <c r="W23" s="3"/>
      <c r="X23" s="3">
        <v>1</v>
      </c>
      <c r="Y23" s="3"/>
      <c r="Z23" s="3">
        <v>8</v>
      </c>
      <c r="AA23" s="3"/>
      <c r="AB23" s="3">
        <v>6</v>
      </c>
      <c r="AC23" s="3"/>
      <c r="AD23" s="3">
        <v>4</v>
      </c>
      <c r="AE23" s="3"/>
      <c r="AF23" s="3">
        <v>2</v>
      </c>
      <c r="AG23" s="3"/>
    </row>
    <row r="24" spans="2:37" x14ac:dyDescent="0.25">
      <c r="B24" s="1" t="s">
        <v>2</v>
      </c>
      <c r="C24" s="3"/>
      <c r="D24" s="3">
        <v>0</v>
      </c>
      <c r="E24" s="3"/>
      <c r="F24" s="3">
        <v>2</v>
      </c>
      <c r="G24" s="3"/>
      <c r="H24" s="3">
        <v>3</v>
      </c>
      <c r="I24" s="3"/>
      <c r="J24" s="3">
        <v>5</v>
      </c>
      <c r="K24" s="3"/>
      <c r="L24" s="3">
        <v>10</v>
      </c>
      <c r="M24" s="3"/>
      <c r="N24" s="3">
        <v>15</v>
      </c>
      <c r="O24" s="3"/>
      <c r="P24" s="3">
        <v>0</v>
      </c>
      <c r="Q24" s="3"/>
      <c r="R24" s="3">
        <v>3</v>
      </c>
      <c r="S24" s="3"/>
      <c r="T24" s="3">
        <v>5</v>
      </c>
      <c r="U24" s="3"/>
      <c r="V24" s="3">
        <v>10</v>
      </c>
      <c r="W24" s="3"/>
      <c r="X24" s="3">
        <v>0</v>
      </c>
      <c r="Y24" s="3"/>
      <c r="Z24" s="3">
        <v>5</v>
      </c>
      <c r="AA24" s="3"/>
      <c r="AB24" s="3">
        <v>5</v>
      </c>
      <c r="AC24" s="3"/>
      <c r="AD24" s="3">
        <v>5</v>
      </c>
      <c r="AE24" s="3"/>
      <c r="AF24" s="3">
        <v>5</v>
      </c>
      <c r="AG24" s="3"/>
    </row>
    <row r="25" spans="2:37" x14ac:dyDescent="0.25">
      <c r="C25" s="3"/>
      <c r="D25" s="10" t="s">
        <v>4</v>
      </c>
      <c r="E25" s="3"/>
      <c r="F25" s="11" t="s">
        <v>5</v>
      </c>
      <c r="G25" s="3"/>
      <c r="H25" s="10" t="s">
        <v>6</v>
      </c>
      <c r="I25" s="3"/>
      <c r="J25" s="10" t="s">
        <v>7</v>
      </c>
      <c r="K25" s="3"/>
      <c r="L25" s="10" t="s">
        <v>8</v>
      </c>
      <c r="M25" s="3"/>
      <c r="N25" s="11" t="s">
        <v>9</v>
      </c>
      <c r="O25" s="3"/>
      <c r="P25" s="10" t="s">
        <v>4</v>
      </c>
      <c r="Q25" s="3"/>
      <c r="R25" s="11" t="s">
        <v>6</v>
      </c>
      <c r="S25" s="3"/>
      <c r="T25" s="10" t="s">
        <v>7</v>
      </c>
      <c r="U25" s="3"/>
      <c r="V25" s="11" t="s">
        <v>8</v>
      </c>
      <c r="W25" s="3"/>
      <c r="X25" s="11" t="s">
        <v>4</v>
      </c>
      <c r="Y25" s="3"/>
      <c r="Z25" s="10" t="s">
        <v>7</v>
      </c>
      <c r="AA25" s="3"/>
      <c r="AB25" s="10" t="s">
        <v>7</v>
      </c>
      <c r="AC25" s="3"/>
      <c r="AD25" s="10" t="s">
        <v>7</v>
      </c>
      <c r="AE25" s="3"/>
      <c r="AF25" s="11" t="s">
        <v>7</v>
      </c>
      <c r="AG25" s="3"/>
    </row>
    <row r="26" spans="2:37" x14ac:dyDescent="0.25">
      <c r="C26" s="5">
        <v>15</v>
      </c>
      <c r="D26" s="5"/>
      <c r="E26" s="5">
        <f>IF(D23&lt;$C$22,C26+D23,C26+$C$22)</f>
        <v>17</v>
      </c>
      <c r="F26" s="5"/>
      <c r="G26" s="5">
        <f>IF(F23&lt;$C$22,E26+F23,E26+$C$22)</f>
        <v>18</v>
      </c>
      <c r="H26" s="5"/>
      <c r="I26" s="5">
        <f>IF(H23&lt;$C$22,G26+H23,G26+$C$22)</f>
        <v>20</v>
      </c>
      <c r="J26" s="5"/>
      <c r="K26" s="5">
        <f>IF(J23&lt;$C$22,I26+J23,I26+$C$22)</f>
        <v>22</v>
      </c>
      <c r="L26" s="5"/>
      <c r="M26" s="5">
        <f>IF(L23&lt;$C$22,K26+L23,K26+$C$22)</f>
        <v>24</v>
      </c>
      <c r="N26" s="5"/>
      <c r="O26" s="5">
        <f>IF(N23&lt;$C$22,M26+N23,M26+$C$22)</f>
        <v>26</v>
      </c>
      <c r="P26" s="5"/>
      <c r="Q26" s="5">
        <f>IF(P23&lt;$C$22,O26+P23,O26+$C$22)</f>
        <v>28</v>
      </c>
      <c r="R26" s="5"/>
      <c r="S26" s="5">
        <f>IF(R23&lt;$C$22,Q26+R23,Q26+$C$22)</f>
        <v>30</v>
      </c>
      <c r="T26" s="5"/>
      <c r="U26" s="5">
        <f>IF(T23&lt;$C$22,S26+T23,S26+$C$22)</f>
        <v>32</v>
      </c>
      <c r="V26" s="5"/>
      <c r="W26" s="5">
        <f>IF(V23&lt;$C$22,U26+V23,U26+$C$22)</f>
        <v>33</v>
      </c>
      <c r="X26" s="5"/>
      <c r="Y26" s="5">
        <f>IF(X23&lt;$C$22,W26+X23,W26+$C$22)</f>
        <v>34</v>
      </c>
      <c r="Z26" s="5"/>
      <c r="AA26" s="5">
        <f>IF(Z23&lt;$C$22,Y26+Z23,Y26+$C$22)</f>
        <v>36</v>
      </c>
      <c r="AB26" s="5"/>
      <c r="AC26" s="5">
        <f>IF(AB23&lt;$C$22,AA26+AB23,AA26+$C$22)</f>
        <v>38</v>
      </c>
      <c r="AD26" s="5"/>
      <c r="AE26" s="5">
        <f>IF(AD23&lt;$C$22,AC26+AD23,AC26+$C$22)</f>
        <v>40</v>
      </c>
      <c r="AF26" s="5"/>
      <c r="AG26" s="5">
        <f>IF(AF23&lt;$C$22,AE26+AF23,AE26+$C$22)</f>
        <v>42</v>
      </c>
    </row>
    <row r="27" spans="2:37" x14ac:dyDescent="0.25">
      <c r="B27" s="1" t="s">
        <v>17</v>
      </c>
      <c r="F27" s="1">
        <f>G26-F24</f>
        <v>16</v>
      </c>
      <c r="N27" s="1">
        <f>O26-N24</f>
        <v>11</v>
      </c>
      <c r="R27" s="1">
        <f>S26-R24</f>
        <v>27</v>
      </c>
      <c r="V27" s="1">
        <f>W26-V24</f>
        <v>23</v>
      </c>
      <c r="X27" s="1">
        <f>Y26-X24</f>
        <v>34</v>
      </c>
      <c r="AF27" s="1">
        <f>AG26-AF24</f>
        <v>37</v>
      </c>
      <c r="AK27" s="4"/>
    </row>
    <row r="28" spans="2:37" x14ac:dyDescent="0.25">
      <c r="B28" s="1" t="s">
        <v>18</v>
      </c>
      <c r="D28" s="1">
        <v>0</v>
      </c>
      <c r="F28" s="1">
        <v>2</v>
      </c>
      <c r="H28" s="1">
        <v>1</v>
      </c>
      <c r="J28" s="1">
        <v>5</v>
      </c>
      <c r="L28" s="1">
        <v>22</v>
      </c>
      <c r="M28" s="1">
        <v>24</v>
      </c>
      <c r="AK28" s="4"/>
    </row>
    <row r="29" spans="2:37" x14ac:dyDescent="0.25">
      <c r="B29" s="1" t="s">
        <v>19</v>
      </c>
      <c r="C29" s="1">
        <f>SUM(C27:AF27)</f>
        <v>148</v>
      </c>
    </row>
    <row r="30" spans="2:37" x14ac:dyDescent="0.25">
      <c r="B30" s="1" t="s">
        <v>20</v>
      </c>
      <c r="C30" s="1">
        <f>SUM(D30:L30)</f>
        <v>81</v>
      </c>
      <c r="D30" s="1">
        <f>C26-D24</f>
        <v>15</v>
      </c>
      <c r="E30" s="1">
        <f>E26-F24</f>
        <v>15</v>
      </c>
      <c r="F30" s="1">
        <f>G26-H24</f>
        <v>15</v>
      </c>
      <c r="G30" s="1">
        <f>I26-J24</f>
        <v>15</v>
      </c>
      <c r="H30" s="1">
        <f>K26-L24</f>
        <v>12</v>
      </c>
      <c r="I30" s="1">
        <f>M26-N24</f>
        <v>9</v>
      </c>
    </row>
    <row r="31" spans="2:37" x14ac:dyDescent="0.25">
      <c r="B31" s="2" t="s">
        <v>15</v>
      </c>
      <c r="C31" s="1">
        <v>15</v>
      </c>
    </row>
    <row r="32" spans="2:37" x14ac:dyDescent="0.25">
      <c r="B32" s="1" t="s">
        <v>16</v>
      </c>
      <c r="C32" s="1">
        <v>1</v>
      </c>
    </row>
    <row r="33" spans="2:57" s="3" customFormat="1" x14ac:dyDescent="0.25">
      <c r="B33" s="12" t="s">
        <v>1</v>
      </c>
      <c r="D33" s="3">
        <v>5</v>
      </c>
      <c r="F33" s="3">
        <v>1</v>
      </c>
      <c r="H33" s="3">
        <v>4</v>
      </c>
      <c r="J33" s="3">
        <v>12</v>
      </c>
      <c r="L33" s="3">
        <v>3</v>
      </c>
      <c r="N33" s="3">
        <v>2</v>
      </c>
      <c r="P33" s="3">
        <v>4</v>
      </c>
      <c r="R33" s="3">
        <v>3</v>
      </c>
      <c r="T33" s="3">
        <v>11</v>
      </c>
      <c r="V33" s="3">
        <v>2</v>
      </c>
      <c r="X33" s="3">
        <v>1</v>
      </c>
      <c r="Z33" s="3">
        <v>3</v>
      </c>
      <c r="AB33" s="3">
        <v>2</v>
      </c>
      <c r="AD33" s="3">
        <v>10</v>
      </c>
      <c r="AF33" s="3">
        <v>1</v>
      </c>
      <c r="AH33" s="3">
        <v>2</v>
      </c>
      <c r="AJ33" s="3">
        <v>1</v>
      </c>
      <c r="AL33" s="3">
        <v>9</v>
      </c>
      <c r="AN33" s="3">
        <v>1</v>
      </c>
      <c r="AP33" s="3">
        <v>8</v>
      </c>
      <c r="AR33" s="3">
        <v>7</v>
      </c>
      <c r="AT33" s="3">
        <v>6</v>
      </c>
      <c r="AV33" s="3">
        <v>5</v>
      </c>
      <c r="AX33" s="3">
        <v>4</v>
      </c>
      <c r="AZ33" s="3">
        <v>3</v>
      </c>
      <c r="BB33" s="3">
        <v>2</v>
      </c>
      <c r="BC33" s="3" t="s">
        <v>21</v>
      </c>
      <c r="BD33" s="3">
        <v>1</v>
      </c>
    </row>
    <row r="34" spans="2:57" s="3" customFormat="1" x14ac:dyDescent="0.25">
      <c r="B34" s="3" t="s">
        <v>2</v>
      </c>
      <c r="D34" s="3">
        <v>0</v>
      </c>
      <c r="F34" s="3">
        <v>2</v>
      </c>
      <c r="H34" s="3">
        <v>3</v>
      </c>
      <c r="J34" s="3">
        <v>5</v>
      </c>
      <c r="L34" s="3">
        <v>10</v>
      </c>
      <c r="N34" s="3">
        <v>15</v>
      </c>
      <c r="P34" s="3">
        <v>0</v>
      </c>
      <c r="R34" s="3">
        <v>3</v>
      </c>
      <c r="T34" s="3">
        <v>5</v>
      </c>
      <c r="V34" s="3">
        <v>10</v>
      </c>
      <c r="X34" s="3">
        <v>15</v>
      </c>
      <c r="Z34" s="3">
        <v>0</v>
      </c>
      <c r="AB34" s="3">
        <v>3</v>
      </c>
      <c r="AD34" s="3">
        <v>5</v>
      </c>
      <c r="AF34" s="3">
        <v>10</v>
      </c>
      <c r="AH34" s="3">
        <v>0</v>
      </c>
      <c r="AJ34" s="3">
        <v>3</v>
      </c>
      <c r="AL34" s="3">
        <v>5</v>
      </c>
      <c r="AN34" s="3">
        <v>0</v>
      </c>
      <c r="AP34" s="3">
        <v>5</v>
      </c>
      <c r="AR34" s="3">
        <v>5</v>
      </c>
      <c r="AT34" s="3">
        <v>5</v>
      </c>
      <c r="AV34" s="3">
        <v>5</v>
      </c>
      <c r="AX34" s="3">
        <v>5</v>
      </c>
      <c r="AZ34" s="3">
        <v>5</v>
      </c>
      <c r="BB34" s="3">
        <v>5</v>
      </c>
      <c r="BD34" s="3">
        <v>5</v>
      </c>
    </row>
    <row r="35" spans="2:57" s="3" customFormat="1" x14ac:dyDescent="0.25">
      <c r="D35" s="10" t="s">
        <v>4</v>
      </c>
      <c r="F35" s="11" t="s">
        <v>5</v>
      </c>
      <c r="H35" s="10" t="s">
        <v>6</v>
      </c>
      <c r="J35" s="10" t="s">
        <v>7</v>
      </c>
      <c r="L35" s="10" t="s">
        <v>8</v>
      </c>
      <c r="N35" s="10" t="s">
        <v>9</v>
      </c>
      <c r="P35" s="10" t="s">
        <v>4</v>
      </c>
      <c r="R35" s="10" t="s">
        <v>6</v>
      </c>
      <c r="T35" s="10" t="s">
        <v>7</v>
      </c>
      <c r="V35" s="10" t="s">
        <v>8</v>
      </c>
      <c r="X35" s="11" t="s">
        <v>9</v>
      </c>
      <c r="Z35" s="10" t="s">
        <v>4</v>
      </c>
      <c r="AB35" s="10" t="s">
        <v>6</v>
      </c>
      <c r="AD35" s="10" t="s">
        <v>7</v>
      </c>
      <c r="AF35" s="11" t="s">
        <v>8</v>
      </c>
      <c r="AH35" s="10" t="s">
        <v>4</v>
      </c>
      <c r="AJ35" s="11" t="s">
        <v>6</v>
      </c>
      <c r="AL35" s="10" t="s">
        <v>7</v>
      </c>
      <c r="AN35" s="11" t="s">
        <v>4</v>
      </c>
      <c r="AP35" s="10" t="s">
        <v>7</v>
      </c>
      <c r="AR35" s="10" t="s">
        <v>7</v>
      </c>
      <c r="AT35" s="10" t="s">
        <v>7</v>
      </c>
      <c r="AV35" s="10" t="s">
        <v>7</v>
      </c>
      <c r="AX35" s="10" t="s">
        <v>7</v>
      </c>
      <c r="AZ35" s="10" t="s">
        <v>7</v>
      </c>
      <c r="BB35" s="10" t="s">
        <v>7</v>
      </c>
      <c r="BD35" s="11" t="s">
        <v>7</v>
      </c>
    </row>
    <row r="36" spans="2:57" s="3" customFormat="1" x14ac:dyDescent="0.25">
      <c r="C36" s="5">
        <v>15</v>
      </c>
      <c r="D36" s="5"/>
      <c r="E36" s="5">
        <f>IF(D33&lt;$C$32,C36+D33,C36+$C$32)</f>
        <v>16</v>
      </c>
      <c r="F36" s="5"/>
      <c r="G36" s="5">
        <f>IF(F33&lt;$C$32,E36+F33,E36+$C$32)</f>
        <v>17</v>
      </c>
      <c r="H36" s="5"/>
      <c r="I36" s="5">
        <f>IF(H33&lt;$C$32,G36+H33,G36+$C$32)</f>
        <v>18</v>
      </c>
      <c r="J36" s="5"/>
      <c r="K36" s="5">
        <f>IF(J33&lt;$C$32,I36+J33,I36+$C$32)</f>
        <v>19</v>
      </c>
      <c r="L36" s="5"/>
      <c r="M36" s="5">
        <f>IF(L33&lt;$C$32,K36+L33,K36+$C$32)</f>
        <v>20</v>
      </c>
      <c r="N36" s="5"/>
      <c r="O36" s="5">
        <f>IF(N33&lt;$C$32,M36+N33,M36+$C$32)</f>
        <v>21</v>
      </c>
      <c r="P36" s="5"/>
      <c r="Q36" s="5">
        <f>IF(P33&lt;$C$32,O36+P33,O36+$C$32)</f>
        <v>22</v>
      </c>
      <c r="R36" s="5"/>
      <c r="S36" s="5">
        <f>IF(R33&lt;$C$32,Q36+R33,Q36+$C$32)</f>
        <v>23</v>
      </c>
      <c r="T36" s="5"/>
      <c r="U36" s="5">
        <f>IF(T33&lt;$C$32,S36+T33,S36+$C$32)</f>
        <v>24</v>
      </c>
      <c r="V36" s="5"/>
      <c r="W36" s="5">
        <f>IF(V33&lt;$C$32,U36+V33,U36+$C$32)</f>
        <v>25</v>
      </c>
      <c r="X36" s="5"/>
      <c r="Y36" s="5">
        <f>IF(X33&lt;$C$32,W36+X33,W36+$C$32)</f>
        <v>26</v>
      </c>
      <c r="Z36" s="5"/>
      <c r="AA36" s="5">
        <f>IF(Z33&lt;$C$32,Y36+Z33,Y36+$C$32)</f>
        <v>27</v>
      </c>
      <c r="AB36" s="5"/>
      <c r="AC36" s="5">
        <f>IF(AB33&lt;$C$32,AA36+AB33,AA36+$C$32)</f>
        <v>28</v>
      </c>
      <c r="AD36" s="5"/>
      <c r="AE36" s="5">
        <f>IF(AD33&lt;$C$32,AC36+AD33,AC36+$C$32)</f>
        <v>29</v>
      </c>
      <c r="AF36" s="5"/>
      <c r="AG36" s="5">
        <f>IF(AF33&lt;$C$32,AE36+AF33,AE36+$C$32)</f>
        <v>30</v>
      </c>
      <c r="AH36" s="5"/>
      <c r="AI36" s="5">
        <f>IF(AH33&lt;$C$32,AG36+AH33,AG36+$C$32)</f>
        <v>31</v>
      </c>
      <c r="AJ36" s="5"/>
      <c r="AK36" s="5">
        <f>IF(AJ33&lt;$C$32,AI36+AJ33,AI36+$C$32)</f>
        <v>32</v>
      </c>
      <c r="AL36" s="5"/>
      <c r="AM36" s="5">
        <f>IF(AL33&lt;$C$32,AK36+AL33,AK36+$C$32)</f>
        <v>33</v>
      </c>
      <c r="AN36" s="5"/>
      <c r="AO36" s="5">
        <f>IF(AN33&lt;$C$32,AM36+AN33,AM36+$C$32)</f>
        <v>34</v>
      </c>
      <c r="AP36" s="5"/>
      <c r="AQ36" s="5">
        <f>IF(AP33&lt;$C$32,AO36+AP33,AO36+$C$32)</f>
        <v>35</v>
      </c>
      <c r="AR36" s="5"/>
      <c r="AS36" s="5">
        <f>IF(AR33&lt;$C$32,AQ36+AR33,AQ36+$C$32)</f>
        <v>36</v>
      </c>
      <c r="AT36" s="5"/>
      <c r="AU36" s="5">
        <f>IF(AT33&lt;$C$32,AS36+AT33,AS36+$C$32)</f>
        <v>37</v>
      </c>
      <c r="AV36" s="5"/>
      <c r="AW36" s="5">
        <f>IF(AV33&lt;$C$32,AU36+AV33,AU36+$C$32)</f>
        <v>38</v>
      </c>
      <c r="AX36" s="5"/>
      <c r="AY36" s="5">
        <f>IF(AX33&lt;$C$32,AW36+AX33,AW36+$C$32)</f>
        <v>39</v>
      </c>
      <c r="AZ36" s="5"/>
      <c r="BA36" s="5">
        <f>IF(AZ33&lt;$C$32,AY36+AZ33,AY36+$C$32)</f>
        <v>40</v>
      </c>
      <c r="BB36" s="5"/>
      <c r="BC36" s="5">
        <f>IF(BB33&lt;$C$32,BA36+BB33,BA36+$C$32)</f>
        <v>41</v>
      </c>
      <c r="BD36" s="5"/>
      <c r="BE36" s="5">
        <f>IF(BD33&lt;$C$32,BC36+BD33,BC36+$C$32)</f>
        <v>42</v>
      </c>
    </row>
    <row r="37" spans="2:57" s="3" customFormat="1" x14ac:dyDescent="0.25">
      <c r="B37" s="3" t="s">
        <v>17</v>
      </c>
      <c r="F37" s="3">
        <f>G36-F34</f>
        <v>15</v>
      </c>
      <c r="X37" s="3">
        <f>Y36-X34</f>
        <v>11</v>
      </c>
      <c r="AF37" s="3">
        <f>AG36-AF34</f>
        <v>20</v>
      </c>
      <c r="AJ37" s="3">
        <f>AK36-AJ34</f>
        <v>29</v>
      </c>
      <c r="AN37" s="3">
        <f>AO36-AN34</f>
        <v>34</v>
      </c>
      <c r="BD37" s="3">
        <f>BE36-BD34</f>
        <v>37</v>
      </c>
    </row>
    <row r="38" spans="2:57" x14ac:dyDescent="0.25">
      <c r="B38" s="1" t="s">
        <v>19</v>
      </c>
      <c r="C38" s="1">
        <f>SUM(C37:BE37)</f>
        <v>146</v>
      </c>
    </row>
    <row r="39" spans="2:57" x14ac:dyDescent="0.25">
      <c r="B39" s="3" t="s">
        <v>20</v>
      </c>
      <c r="C39" s="1">
        <f>SUM(D39:J39)</f>
        <v>70</v>
      </c>
      <c r="D39" s="1">
        <f>C36-D34</f>
        <v>15</v>
      </c>
      <c r="E39" s="1">
        <f>E36-F34</f>
        <v>14</v>
      </c>
      <c r="F39" s="1">
        <f>G36-H34</f>
        <v>14</v>
      </c>
      <c r="G39" s="1">
        <f>I36-J34</f>
        <v>13</v>
      </c>
      <c r="H39" s="1">
        <f>K36-L34</f>
        <v>9</v>
      </c>
      <c r="I39" s="1">
        <f>M36-N34</f>
        <v>5</v>
      </c>
    </row>
    <row r="40" spans="2:57" x14ac:dyDescent="0.25">
      <c r="B40" s="7" t="s">
        <v>22</v>
      </c>
      <c r="C40" s="9"/>
    </row>
    <row r="41" spans="2:57" x14ac:dyDescent="0.25">
      <c r="B41" s="2" t="s">
        <v>15</v>
      </c>
      <c r="C41" s="1">
        <v>15</v>
      </c>
    </row>
    <row r="42" spans="2:57" x14ac:dyDescent="0.25">
      <c r="B42" s="1" t="s">
        <v>16</v>
      </c>
      <c r="C42" s="1">
        <v>2</v>
      </c>
      <c r="D42" s="3"/>
      <c r="E42" s="3"/>
      <c r="F42" s="3"/>
      <c r="G42" s="3"/>
      <c r="H42" s="3">
        <v>1</v>
      </c>
      <c r="I42" s="3"/>
      <c r="J42" s="3">
        <v>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2:57" x14ac:dyDescent="0.25">
      <c r="B43" s="2" t="s">
        <v>1</v>
      </c>
      <c r="C43" s="3"/>
      <c r="D43" s="3">
        <v>1</v>
      </c>
      <c r="E43" s="3"/>
      <c r="F43" s="3">
        <v>2</v>
      </c>
      <c r="G43" s="3"/>
      <c r="H43" s="3">
        <v>3</v>
      </c>
      <c r="I43" s="3"/>
      <c r="J43" s="3">
        <v>4</v>
      </c>
      <c r="K43" s="3"/>
      <c r="L43" s="3">
        <v>1</v>
      </c>
      <c r="M43" s="3"/>
      <c r="N43" s="3">
        <v>2</v>
      </c>
      <c r="O43" s="3"/>
      <c r="P43" s="3">
        <v>5</v>
      </c>
      <c r="Q43" s="3"/>
      <c r="R43" s="3">
        <v>12</v>
      </c>
      <c r="S43" s="3"/>
      <c r="T43" s="3">
        <v>3</v>
      </c>
      <c r="U43" s="3"/>
      <c r="V43" s="3">
        <v>10</v>
      </c>
      <c r="W43" s="3"/>
      <c r="X43" s="3">
        <v>1</v>
      </c>
      <c r="Y43" s="3"/>
      <c r="Z43" s="3">
        <v>8</v>
      </c>
      <c r="AA43" s="3"/>
      <c r="AB43" s="3">
        <v>6</v>
      </c>
      <c r="AC43" s="3"/>
      <c r="AD43" s="3">
        <v>4</v>
      </c>
      <c r="AE43" s="3"/>
      <c r="AF43" s="3">
        <v>2</v>
      </c>
      <c r="AG43" s="3"/>
    </row>
    <row r="44" spans="2:57" x14ac:dyDescent="0.25">
      <c r="B44" s="1" t="s">
        <v>2</v>
      </c>
      <c r="C44" s="3"/>
      <c r="D44" s="3">
        <v>2</v>
      </c>
      <c r="E44" s="3"/>
      <c r="F44" s="3">
        <v>15</v>
      </c>
      <c r="G44" s="3"/>
      <c r="H44" s="3">
        <v>10</v>
      </c>
      <c r="I44" s="3"/>
      <c r="J44" s="3">
        <v>3</v>
      </c>
      <c r="K44" s="3"/>
      <c r="L44" s="3">
        <v>10</v>
      </c>
      <c r="M44" s="3"/>
      <c r="N44" s="3">
        <v>3</v>
      </c>
      <c r="O44" s="3"/>
      <c r="P44" s="3">
        <v>0</v>
      </c>
      <c r="Q44" s="3"/>
      <c r="R44" s="3">
        <v>5</v>
      </c>
      <c r="S44" s="3"/>
      <c r="T44" s="3">
        <v>0</v>
      </c>
      <c r="U44" s="3"/>
      <c r="V44" s="3">
        <v>5</v>
      </c>
      <c r="W44" s="3"/>
      <c r="X44" s="3">
        <v>0</v>
      </c>
      <c r="Y44" s="3"/>
      <c r="Z44" s="3">
        <v>5</v>
      </c>
      <c r="AA44" s="3"/>
      <c r="AB44" s="3">
        <v>5</v>
      </c>
      <c r="AC44" s="3"/>
      <c r="AD44" s="3">
        <v>5</v>
      </c>
      <c r="AE44" s="3"/>
      <c r="AF44" s="3">
        <v>5</v>
      </c>
      <c r="AG44" s="3"/>
    </row>
    <row r="45" spans="2:57" x14ac:dyDescent="0.25">
      <c r="C45" s="3"/>
      <c r="D45" s="11" t="s">
        <v>5</v>
      </c>
      <c r="E45" s="3"/>
      <c r="F45" s="11" t="s">
        <v>9</v>
      </c>
      <c r="G45" s="3"/>
      <c r="H45" s="10" t="s">
        <v>8</v>
      </c>
      <c r="I45" s="3"/>
      <c r="J45" s="10" t="s">
        <v>6</v>
      </c>
      <c r="K45" s="3"/>
      <c r="L45" s="11" t="s">
        <v>8</v>
      </c>
      <c r="M45" s="3"/>
      <c r="N45" s="11" t="s">
        <v>6</v>
      </c>
      <c r="O45" s="3"/>
      <c r="P45" s="10" t="s">
        <v>4</v>
      </c>
      <c r="Q45" s="3"/>
      <c r="R45" s="10" t="s">
        <v>7</v>
      </c>
      <c r="S45" s="3"/>
      <c r="T45" s="10" t="s">
        <v>4</v>
      </c>
      <c r="U45" s="3"/>
      <c r="V45" s="10" t="s">
        <v>7</v>
      </c>
      <c r="W45" s="3"/>
      <c r="X45" s="11" t="s">
        <v>4</v>
      </c>
      <c r="Y45" s="3"/>
      <c r="Z45" s="10" t="s">
        <v>7</v>
      </c>
      <c r="AA45" s="3"/>
      <c r="AB45" s="10" t="s">
        <v>7</v>
      </c>
      <c r="AC45" s="3"/>
      <c r="AD45" s="10" t="s">
        <v>7</v>
      </c>
      <c r="AE45" s="3"/>
      <c r="AF45" s="11" t="s">
        <v>7</v>
      </c>
      <c r="AG45" s="3"/>
    </row>
    <row r="46" spans="2:57" x14ac:dyDescent="0.25">
      <c r="C46" s="5">
        <v>15</v>
      </c>
      <c r="D46" s="5"/>
      <c r="E46" s="5">
        <f>IF(D43&lt;$C$22,C46+D43,C46+$C$22)</f>
        <v>16</v>
      </c>
      <c r="F46" s="5"/>
      <c r="G46" s="5">
        <f>IF(F43&lt;$C$22,E46+F43,E46+$C$22)</f>
        <v>18</v>
      </c>
      <c r="H46" s="5"/>
      <c r="I46" s="5">
        <f>IF(H43&lt;$C$22,G46+H43,G46+$C$22)</f>
        <v>20</v>
      </c>
      <c r="J46" s="5"/>
      <c r="K46" s="5">
        <f>IF(J43&lt;$C$22,I46+J43,I46+$C$22)</f>
        <v>22</v>
      </c>
      <c r="L46" s="5"/>
      <c r="M46" s="5">
        <f>IF(L43&lt;$C$22,K46+L43,K46+$C$22)</f>
        <v>23</v>
      </c>
      <c r="N46" s="5"/>
      <c r="O46" s="5">
        <f>IF(N43&lt;$C$22,M46+N43,M46+$C$22)</f>
        <v>25</v>
      </c>
      <c r="P46" s="5"/>
      <c r="Q46" s="5">
        <f>IF(P43&lt;$C$22,O46+P43,O46+$C$22)</f>
        <v>27</v>
      </c>
      <c r="R46" s="5"/>
      <c r="S46" s="5">
        <f>IF(R43&lt;$C$22,Q46+R43,Q46+$C$22)</f>
        <v>29</v>
      </c>
      <c r="T46" s="5"/>
      <c r="U46" s="5">
        <f>IF(T43&lt;$C$22,S46+T43,S46+$C$22)</f>
        <v>31</v>
      </c>
      <c r="V46" s="5"/>
      <c r="W46" s="5">
        <f>IF(V43&lt;$C$22,U46+V43,U46+$C$22)</f>
        <v>33</v>
      </c>
      <c r="X46" s="5"/>
      <c r="Y46" s="5">
        <f>IF(X43&lt;$C$22,W46+X43,W46+$C$22)</f>
        <v>34</v>
      </c>
      <c r="Z46" s="5"/>
      <c r="AA46" s="5">
        <f>IF(Z43&lt;$C$22,Y46+Z43,Y46+$C$22)</f>
        <v>36</v>
      </c>
      <c r="AB46" s="5"/>
      <c r="AC46" s="5">
        <f>IF(AB43&lt;$C$22,AA46+AB43,AA46+$C$22)</f>
        <v>38</v>
      </c>
      <c r="AD46" s="5"/>
      <c r="AE46" s="5">
        <f>IF(AD43&lt;$C$22,AC46+AD43,AC46+$C$22)</f>
        <v>40</v>
      </c>
      <c r="AF46" s="5"/>
      <c r="AG46" s="5">
        <f>IF(AF43&lt;$C$22,AE46+AF43,AE46+$C$22)</f>
        <v>42</v>
      </c>
    </row>
    <row r="47" spans="2:57" x14ac:dyDescent="0.25">
      <c r="B47" s="1" t="s">
        <v>17</v>
      </c>
      <c r="D47" s="1">
        <f>E46-D44</f>
        <v>14</v>
      </c>
      <c r="F47" s="1">
        <f>G46-F44</f>
        <v>3</v>
      </c>
      <c r="L47" s="1">
        <f>M46-L44</f>
        <v>13</v>
      </c>
      <c r="N47" s="1">
        <f>O46-N44</f>
        <v>22</v>
      </c>
      <c r="X47" s="1">
        <f>Y46-X44</f>
        <v>34</v>
      </c>
      <c r="AF47" s="1">
        <f>AG46-AF44</f>
        <v>37</v>
      </c>
    </row>
    <row r="48" spans="2:57" x14ac:dyDescent="0.25">
      <c r="B48" s="1" t="s">
        <v>19</v>
      </c>
      <c r="C48" s="1">
        <f>SUM(C47:AF47)</f>
        <v>123</v>
      </c>
    </row>
    <row r="49" spans="2:9" x14ac:dyDescent="0.25">
      <c r="B49" s="1" t="s">
        <v>23</v>
      </c>
      <c r="C49" s="1">
        <f>SUM(D49:J49)</f>
        <v>86</v>
      </c>
      <c r="D49" s="1">
        <f>C46-D44</f>
        <v>13</v>
      </c>
      <c r="E49" s="1">
        <f>E46-F44</f>
        <v>1</v>
      </c>
      <c r="F49" s="1">
        <f>G46-H44</f>
        <v>8</v>
      </c>
      <c r="G49" s="1">
        <f>I46-J44</f>
        <v>17</v>
      </c>
      <c r="H49" s="1">
        <f>O46-P44</f>
        <v>25</v>
      </c>
      <c r="I49" s="1">
        <f>Q46-R44</f>
        <v>22</v>
      </c>
    </row>
  </sheetData>
  <pageMargins left="0.78740157499999996" right="0.78740157499999996" top="0.984251969" bottom="0.984251969" header="0.4921259845" footer="0.4921259845"/>
  <pageSetup paperSize="9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E507-EF25-4E1A-B688-55C3F079E25F}">
  <sheetPr>
    <pageSetUpPr fitToPage="1"/>
  </sheetPr>
  <dimension ref="C2:Q15"/>
  <sheetViews>
    <sheetView topLeftCell="B1" workbookViewId="0">
      <selection activeCell="F26" sqref="F26"/>
    </sheetView>
  </sheetViews>
  <sheetFormatPr baseColWidth="10" defaultColWidth="11.44140625" defaultRowHeight="13.2" x14ac:dyDescent="0.25"/>
  <cols>
    <col min="1" max="1" width="1.88671875" style="1" customWidth="1"/>
    <col min="2" max="2" width="1.6640625" style="1" customWidth="1"/>
    <col min="3" max="3" width="5.33203125" style="1" customWidth="1"/>
    <col min="4" max="4" width="4.88671875" style="1" customWidth="1"/>
    <col min="5" max="13" width="9.109375" style="1" customWidth="1"/>
    <col min="14" max="16384" width="11.44140625" style="1"/>
  </cols>
  <sheetData>
    <row r="2" spans="3:17" x14ac:dyDescent="0.25">
      <c r="K2" s="16"/>
    </row>
    <row r="3" spans="3:17" x14ac:dyDescent="0.25">
      <c r="J3" s="1" t="s">
        <v>37</v>
      </c>
    </row>
    <row r="4" spans="3:17" x14ac:dyDescent="0.25">
      <c r="C4" s="13">
        <v>100</v>
      </c>
      <c r="D4" s="14" t="s">
        <v>24</v>
      </c>
      <c r="E4" s="14" t="s">
        <v>25</v>
      </c>
      <c r="F4" s="14" t="s">
        <v>26</v>
      </c>
      <c r="G4" s="14" t="s">
        <v>27</v>
      </c>
      <c r="H4" s="14" t="s">
        <v>28</v>
      </c>
      <c r="I4" s="14" t="s">
        <v>8</v>
      </c>
      <c r="J4" s="14"/>
      <c r="K4" s="14"/>
      <c r="L4" s="14"/>
      <c r="M4" s="14"/>
      <c r="N4" s="14"/>
      <c r="O4" s="14"/>
      <c r="P4" s="14"/>
      <c r="Q4" s="15"/>
    </row>
    <row r="5" spans="3:17" x14ac:dyDescent="0.25">
      <c r="C5" s="13">
        <v>150</v>
      </c>
      <c r="D5" s="14" t="s">
        <v>29</v>
      </c>
      <c r="E5" s="14"/>
      <c r="F5" s="14" t="s">
        <v>4</v>
      </c>
      <c r="G5" s="14" t="s">
        <v>30</v>
      </c>
      <c r="H5" s="14" t="s">
        <v>31</v>
      </c>
      <c r="I5" s="14" t="s">
        <v>31</v>
      </c>
      <c r="J5" s="14" t="s">
        <v>32</v>
      </c>
      <c r="K5" s="14" t="s">
        <v>33</v>
      </c>
      <c r="L5" s="14" t="s">
        <v>34</v>
      </c>
      <c r="M5" s="14" t="s">
        <v>8</v>
      </c>
      <c r="N5" s="14"/>
      <c r="O5" s="14"/>
      <c r="P5" s="14"/>
      <c r="Q5" s="15"/>
    </row>
    <row r="6" spans="3:17" x14ac:dyDescent="0.25">
      <c r="C6" s="13">
        <v>200</v>
      </c>
      <c r="D6" s="14" t="s">
        <v>35</v>
      </c>
      <c r="E6" s="14"/>
      <c r="F6" s="14"/>
      <c r="G6" s="14"/>
      <c r="H6" s="14"/>
      <c r="I6" s="14"/>
      <c r="J6" s="14"/>
      <c r="K6" s="14"/>
      <c r="L6" s="14" t="s">
        <v>5</v>
      </c>
      <c r="M6" s="14" t="s">
        <v>36</v>
      </c>
      <c r="N6" s="14" t="s">
        <v>36</v>
      </c>
      <c r="O6" s="14" t="s">
        <v>6</v>
      </c>
      <c r="P6" s="14" t="s">
        <v>6</v>
      </c>
      <c r="Q6" s="15"/>
    </row>
    <row r="7" spans="3:17" x14ac:dyDescent="0.25">
      <c r="C7" s="1" t="s">
        <v>38</v>
      </c>
      <c r="E7" s="1" t="s">
        <v>4</v>
      </c>
      <c r="F7" s="1" t="s">
        <v>5</v>
      </c>
      <c r="G7" s="1" t="s">
        <v>6</v>
      </c>
      <c r="H7" s="18" t="s">
        <v>7</v>
      </c>
      <c r="I7" s="1" t="s">
        <v>8</v>
      </c>
      <c r="J7" s="18" t="s">
        <v>4</v>
      </c>
      <c r="K7" s="1" t="s">
        <v>5</v>
      </c>
      <c r="L7" s="1" t="s">
        <v>6</v>
      </c>
      <c r="M7" s="18" t="s">
        <v>8</v>
      </c>
      <c r="N7" s="18" t="s">
        <v>5</v>
      </c>
      <c r="O7" s="1" t="s">
        <v>6</v>
      </c>
      <c r="P7" s="18" t="s">
        <v>6</v>
      </c>
    </row>
    <row r="8" spans="3:17" x14ac:dyDescent="0.25">
      <c r="C8" s="1" t="s">
        <v>39</v>
      </c>
      <c r="E8" s="1">
        <v>100</v>
      </c>
      <c r="F8" s="1">
        <v>100</v>
      </c>
      <c r="G8" s="1">
        <v>100</v>
      </c>
      <c r="H8" s="18">
        <v>50</v>
      </c>
      <c r="I8" s="1">
        <v>100</v>
      </c>
      <c r="J8" s="18">
        <v>20</v>
      </c>
      <c r="K8" s="1">
        <v>150</v>
      </c>
      <c r="L8" s="1">
        <v>150</v>
      </c>
      <c r="M8" s="18">
        <v>100</v>
      </c>
      <c r="N8" s="18">
        <v>100</v>
      </c>
      <c r="O8" s="1">
        <v>200</v>
      </c>
      <c r="P8" s="18">
        <v>50</v>
      </c>
    </row>
    <row r="9" spans="3:17" x14ac:dyDescent="0.25">
      <c r="C9" s="1" t="s">
        <v>40</v>
      </c>
      <c r="E9" s="1">
        <f>E8+D9</f>
        <v>100</v>
      </c>
      <c r="F9" s="1">
        <f t="shared" ref="F9:P9" si="0">E9+F8</f>
        <v>200</v>
      </c>
      <c r="G9" s="1">
        <f t="shared" si="0"/>
        <v>300</v>
      </c>
      <c r="H9" s="18">
        <f t="shared" si="0"/>
        <v>350</v>
      </c>
      <c r="I9" s="1">
        <f t="shared" si="0"/>
        <v>450</v>
      </c>
      <c r="J9" s="18">
        <f t="shared" si="0"/>
        <v>470</v>
      </c>
      <c r="K9" s="1">
        <f t="shared" si="0"/>
        <v>620</v>
      </c>
      <c r="L9" s="1">
        <f t="shared" si="0"/>
        <v>770</v>
      </c>
      <c r="M9" s="18">
        <f t="shared" si="0"/>
        <v>870</v>
      </c>
      <c r="N9" s="18">
        <f t="shared" si="0"/>
        <v>970</v>
      </c>
      <c r="O9" s="1">
        <f t="shared" si="0"/>
        <v>1170</v>
      </c>
      <c r="P9" s="18">
        <f t="shared" si="0"/>
        <v>1220</v>
      </c>
    </row>
    <row r="10" spans="3:17" x14ac:dyDescent="0.25">
      <c r="E10" s="1" t="s">
        <v>41</v>
      </c>
      <c r="F10" s="1" t="s">
        <v>42</v>
      </c>
    </row>
    <row r="11" spans="3:17" x14ac:dyDescent="0.25">
      <c r="D11" s="1" t="s">
        <v>4</v>
      </c>
      <c r="E11" s="1">
        <f>J9</f>
        <v>470</v>
      </c>
      <c r="F11" s="1">
        <v>0</v>
      </c>
    </row>
    <row r="12" spans="3:17" x14ac:dyDescent="0.25">
      <c r="D12" s="1" t="s">
        <v>5</v>
      </c>
      <c r="E12" s="1">
        <f>N9</f>
        <v>970</v>
      </c>
      <c r="F12" s="1">
        <v>100</v>
      </c>
      <c r="H12" s="1" t="s">
        <v>10</v>
      </c>
      <c r="J12" s="1">
        <f>SUM(E11:E15)</f>
        <v>3880</v>
      </c>
      <c r="K12" s="17" t="s">
        <v>11</v>
      </c>
      <c r="L12" s="1">
        <v>5</v>
      </c>
      <c r="M12" s="1">
        <f>J12/L12</f>
        <v>776</v>
      </c>
    </row>
    <row r="13" spans="3:17" x14ac:dyDescent="0.25">
      <c r="D13" s="1" t="s">
        <v>6</v>
      </c>
      <c r="E13" s="1">
        <f>P9</f>
        <v>1220</v>
      </c>
      <c r="F13" s="1">
        <v>200</v>
      </c>
      <c r="H13" s="1" t="s">
        <v>12</v>
      </c>
      <c r="J13" s="1">
        <f>SUM(F11:F15)</f>
        <v>950</v>
      </c>
      <c r="K13" s="17" t="s">
        <v>11</v>
      </c>
      <c r="L13" s="1">
        <v>5</v>
      </c>
      <c r="M13" s="1">
        <f>J13/L13</f>
        <v>190</v>
      </c>
    </row>
    <row r="14" spans="3:17" x14ac:dyDescent="0.25">
      <c r="D14" s="1" t="s">
        <v>7</v>
      </c>
      <c r="E14" s="1">
        <f>H9</f>
        <v>350</v>
      </c>
      <c r="F14" s="1">
        <v>300</v>
      </c>
    </row>
    <row r="15" spans="3:17" x14ac:dyDescent="0.25">
      <c r="D15" s="1" t="s">
        <v>8</v>
      </c>
      <c r="E15" s="1">
        <f>M9</f>
        <v>870</v>
      </c>
      <c r="F15" s="1">
        <v>350</v>
      </c>
    </row>
  </sheetData>
  <pageMargins left="0.78740157499999996" right="0.78740157499999996" top="0.984251969" bottom="0.984251969" header="0.4921259845" footer="0.4921259845"/>
  <pageSetup paperSize="9" scale="8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Exercice 2</vt:lpstr>
      <vt:lpstr>Exercice 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castan@datac.fr</dc:creator>
  <cp:lastModifiedBy>castan@datac.fr</cp:lastModifiedBy>
  <dcterms:created xsi:type="dcterms:W3CDTF">2023-11-13T07:31:01Z</dcterms:created>
  <dcterms:modified xsi:type="dcterms:W3CDTF">2023-11-13T07:40:10Z</dcterms:modified>
</cp:coreProperties>
</file>