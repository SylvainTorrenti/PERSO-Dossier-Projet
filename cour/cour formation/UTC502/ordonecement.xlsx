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"/>
    </mc:Choice>
  </mc:AlternateContent>
  <xr:revisionPtr revIDLastSave="0" documentId="13_ncr:1_{799C67E1-0D12-438D-B4EF-8307722F4A69}" xr6:coauthVersionLast="47" xr6:coauthVersionMax="47" xr10:uidLastSave="{00000000-0000-0000-0000-000000000000}"/>
  <bookViews>
    <workbookView xWindow="-110" yWindow="-110" windowWidth="25820" windowHeight="15500" xr2:uid="{7BB81663-E5D4-42A1-A9A9-D107E99E9D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N17" i="1"/>
  <c r="N16" i="1"/>
  <c r="N15" i="1"/>
  <c r="N14" i="1"/>
  <c r="N13" i="1"/>
  <c r="J13" i="1"/>
  <c r="I17" i="1"/>
  <c r="I16" i="1"/>
  <c r="I15" i="1"/>
  <c r="I14" i="1"/>
  <c r="I13" i="1"/>
  <c r="I7" i="1"/>
  <c r="I6" i="1"/>
  <c r="I5" i="1"/>
  <c r="I4" i="1"/>
  <c r="I3" i="1"/>
  <c r="B7" i="1"/>
  <c r="A11" i="1"/>
  <c r="A10" i="1"/>
  <c r="A9" i="1"/>
  <c r="A8" i="1"/>
  <c r="A7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<sst xmlns="http://schemas.openxmlformats.org/spreadsheetml/2006/main" count="98" uniqueCount="37">
  <si>
    <t>34/5</t>
  </si>
  <si>
    <t>45/5</t>
  </si>
  <si>
    <t>TTM</t>
  </si>
  <si>
    <t>TAM</t>
  </si>
  <si>
    <t>FIFO</t>
  </si>
  <si>
    <t>A</t>
  </si>
  <si>
    <t>B</t>
  </si>
  <si>
    <t>C</t>
  </si>
  <si>
    <t>D</t>
  </si>
  <si>
    <t>E</t>
  </si>
  <si>
    <t>SJF</t>
  </si>
  <si>
    <t>43/5</t>
  </si>
  <si>
    <t>29/5</t>
  </si>
  <si>
    <t>Priorité</t>
  </si>
  <si>
    <t>procesus</t>
  </si>
  <si>
    <t>durée</t>
  </si>
  <si>
    <t>arrivé</t>
  </si>
  <si>
    <t>priotité</t>
  </si>
  <si>
    <t>t=6</t>
  </si>
  <si>
    <t>11/5</t>
  </si>
  <si>
    <t>4/1</t>
  </si>
  <si>
    <t>2/2</t>
  </si>
  <si>
    <t>t=7</t>
  </si>
  <si>
    <t>12/5</t>
  </si>
  <si>
    <t>12/4</t>
  </si>
  <si>
    <t>3/2</t>
  </si>
  <si>
    <t>6/4</t>
  </si>
  <si>
    <t>7/4</t>
  </si>
  <si>
    <t>t=12</t>
  </si>
  <si>
    <t>8/2</t>
  </si>
  <si>
    <t>t=14</t>
  </si>
  <si>
    <t>t=16</t>
  </si>
  <si>
    <t>14/4</t>
  </si>
  <si>
    <t>10/2</t>
  </si>
  <si>
    <t>16/4</t>
  </si>
  <si>
    <t>fin/n</t>
  </si>
  <si>
    <t>début/n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</si>
</sst>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/>
    <xf numFmtId="16" fontId="0" fillId="0" borderId="0" xfId="0" quotePrefix="1" applyNumberForma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7" borderId="1" xfId="0" applyFill="1" applyBorder="1"/>
    <xf numFmtId="0" fontId="0" fillId="0" borderId="3" xfId="0" applyFill="1" applyBorder="1"/>
    <xf numFmtId="0" fontId="0" fillId="7" borderId="2" xfId="0" applyFill="1" applyBorder="1"/>
    <xf numFmtId="0" fontId="0" fillId="0" borderId="1" xfId="0" applyFill="1" applyBorder="1"/>
    <xf numFmtId="0" fontId="0" fillId="0" borderId="1" xfId="0" quotePrefix="1" applyBorder="1"/>
    <xf numFmtId="16" fontId="0" fillId="0" borderId="1" xfId="0" quotePrefix="1" applyNumberFormat="1" applyBorder="1"/>
    <xf numFmtId="0" fontId="0" fillId="0" borderId="1" xfId="0" quotePrefix="1" applyFill="1" applyBorder="1"/>
    <xf numFmtId="0" fontId="0" fillId="8" borderId="1" xfId="0" applyFill="1" applyBorder="1"/>
    <xf numFmtId="0" fontId="0" fillId="0" borderId="0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4" xfId="0" quotePrefix="1" applyBorder="1"/>
    <xf numFmtId="0" fontId="0" fillId="8" borderId="4" xfId="0" applyFill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E569-8253-4B16-93FD-624061919AFD}">
  <dimension ref="A1:U32"/>
  <sheetViews>
    <sheetView tabSelected="1" topLeftCell="B1" workbookViewId="0">
      <selection activeCell="R20" sqref="R20"/>
    </sheetView>
  </sheetViews>
  <sheetFormatPr baseColWidth="10" defaultRowHeight="14.5" x14ac:dyDescent="0.35"/>
  <sheetData>
    <row r="1" spans="1:21" x14ac:dyDescent="0.35">
      <c r="A1">
        <f>7-1</f>
        <v>6</v>
      </c>
      <c r="B1">
        <v>34</v>
      </c>
      <c r="D1" t="s">
        <v>3</v>
      </c>
      <c r="F1" t="s">
        <v>4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5">
      <c r="A2">
        <f>8-0</f>
        <v>8</v>
      </c>
      <c r="B2" t="s">
        <v>0</v>
      </c>
      <c r="F2" t="s">
        <v>5</v>
      </c>
      <c r="H2" s="15" t="s">
        <v>5</v>
      </c>
      <c r="I2" s="15" t="s">
        <v>5</v>
      </c>
      <c r="J2" s="15" t="s">
        <v>5</v>
      </c>
      <c r="K2" s="15" t="s">
        <v>5</v>
      </c>
      <c r="L2" s="15" t="s">
        <v>5</v>
      </c>
      <c r="M2" s="16" t="s">
        <v>6</v>
      </c>
      <c r="N2" s="17" t="s">
        <v>7</v>
      </c>
      <c r="O2" s="17" t="s">
        <v>7</v>
      </c>
      <c r="P2" s="17" t="s">
        <v>7</v>
      </c>
      <c r="Q2" s="17" t="s">
        <v>7</v>
      </c>
      <c r="R2" s="18" t="s">
        <v>8</v>
      </c>
      <c r="S2" s="18" t="s">
        <v>8</v>
      </c>
      <c r="T2" s="19" t="s">
        <v>9</v>
      </c>
      <c r="U2" s="19" t="s">
        <v>9</v>
      </c>
    </row>
    <row r="3" spans="1:21" x14ac:dyDescent="0.35">
      <c r="A3">
        <f>11-7</f>
        <v>4</v>
      </c>
      <c r="F3" t="s">
        <v>6</v>
      </c>
      <c r="H3" t="s">
        <v>2</v>
      </c>
      <c r="I3">
        <f>11-0</f>
        <v>11</v>
      </c>
      <c r="M3" t="s">
        <v>3</v>
      </c>
    </row>
    <row r="4" spans="1:21" x14ac:dyDescent="0.35">
      <c r="A4">
        <f>12-6</f>
        <v>6</v>
      </c>
      <c r="F4" t="s">
        <v>7</v>
      </c>
      <c r="H4" t="s">
        <v>35</v>
      </c>
      <c r="I4">
        <f>12-3</f>
        <v>9</v>
      </c>
      <c r="M4" t="s">
        <v>36</v>
      </c>
    </row>
    <row r="5" spans="1:21" x14ac:dyDescent="0.35">
      <c r="A5">
        <f>14-4</f>
        <v>10</v>
      </c>
      <c r="F5" t="s">
        <v>8</v>
      </c>
      <c r="I5">
        <f>16-4</f>
        <v>12</v>
      </c>
    </row>
    <row r="6" spans="1:21" x14ac:dyDescent="0.35">
      <c r="F6" t="s">
        <v>9</v>
      </c>
      <c r="I6">
        <f>18-6</f>
        <v>12</v>
      </c>
    </row>
    <row r="7" spans="1:21" x14ac:dyDescent="0.35">
      <c r="A7" s="1">
        <f>8-1</f>
        <v>7</v>
      </c>
      <c r="B7">
        <f>A7+A8+A9+A10+A11</f>
        <v>45</v>
      </c>
      <c r="D7" t="s">
        <v>2</v>
      </c>
      <c r="I7">
        <f>20-6</f>
        <v>14</v>
      </c>
    </row>
    <row r="8" spans="1:21" x14ac:dyDescent="0.35">
      <c r="A8">
        <f>11-0</f>
        <v>11</v>
      </c>
      <c r="B8" t="s">
        <v>1</v>
      </c>
    </row>
    <row r="9" spans="1:21" x14ac:dyDescent="0.35">
      <c r="A9">
        <f>12-7</f>
        <v>5</v>
      </c>
    </row>
    <row r="10" spans="1:21" x14ac:dyDescent="0.35">
      <c r="A10">
        <f>14-6</f>
        <v>8</v>
      </c>
    </row>
    <row r="11" spans="1:21" x14ac:dyDescent="0.35">
      <c r="A11">
        <f>18-4</f>
        <v>14</v>
      </c>
      <c r="F11" t="s">
        <v>10</v>
      </c>
      <c r="H11">
        <v>7</v>
      </c>
      <c r="I11">
        <v>8</v>
      </c>
      <c r="J11">
        <v>9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</row>
    <row r="12" spans="1:21" x14ac:dyDescent="0.35">
      <c r="F12" t="s">
        <v>6</v>
      </c>
      <c r="H12" s="16" t="s">
        <v>6</v>
      </c>
      <c r="I12" s="18" t="s">
        <v>8</v>
      </c>
      <c r="J12" s="18" t="s">
        <v>8</v>
      </c>
      <c r="K12" s="19" t="s">
        <v>9</v>
      </c>
      <c r="L12" s="19" t="s">
        <v>9</v>
      </c>
      <c r="M12" s="17" t="s">
        <v>7</v>
      </c>
      <c r="N12" s="17" t="s">
        <v>7</v>
      </c>
      <c r="O12" s="17" t="s">
        <v>7</v>
      </c>
      <c r="P12" s="17" t="s">
        <v>7</v>
      </c>
      <c r="Q12" s="15" t="s">
        <v>5</v>
      </c>
      <c r="R12" s="15" t="s">
        <v>5</v>
      </c>
      <c r="S12" s="15" t="s">
        <v>5</v>
      </c>
      <c r="T12" s="15" t="s">
        <v>5</v>
      </c>
      <c r="U12" s="15" t="s">
        <v>5</v>
      </c>
    </row>
    <row r="13" spans="1:21" x14ac:dyDescent="0.35">
      <c r="F13" t="s">
        <v>8</v>
      </c>
      <c r="H13" t="s">
        <v>2</v>
      </c>
      <c r="I13">
        <f>20-0</f>
        <v>20</v>
      </c>
      <c r="J13">
        <f>I14+I13+I15+I16+I17</f>
        <v>43</v>
      </c>
      <c r="K13" t="s">
        <v>11</v>
      </c>
      <c r="M13" t="s">
        <v>3</v>
      </c>
      <c r="N13">
        <f>15-0</f>
        <v>15</v>
      </c>
      <c r="O13">
        <f>N13+N14+N15+N16+N17</f>
        <v>29</v>
      </c>
      <c r="P13" s="2" t="s">
        <v>12</v>
      </c>
    </row>
    <row r="14" spans="1:21" x14ac:dyDescent="0.35">
      <c r="F14" t="s">
        <v>9</v>
      </c>
      <c r="H14" t="s">
        <v>35</v>
      </c>
      <c r="I14">
        <f>7-3</f>
        <v>4</v>
      </c>
      <c r="M14" t="s">
        <v>36</v>
      </c>
      <c r="N14">
        <f>6-3</f>
        <v>3</v>
      </c>
    </row>
    <row r="15" spans="1:21" x14ac:dyDescent="0.35">
      <c r="F15" t="s">
        <v>7</v>
      </c>
      <c r="I15">
        <f>15-4</f>
        <v>11</v>
      </c>
      <c r="N15">
        <f>11-4</f>
        <v>7</v>
      </c>
    </row>
    <row r="16" spans="1:21" x14ac:dyDescent="0.35">
      <c r="F16" t="s">
        <v>5</v>
      </c>
      <c r="I16">
        <f>9-6</f>
        <v>3</v>
      </c>
      <c r="N16">
        <f>7-6</f>
        <v>1</v>
      </c>
    </row>
    <row r="17" spans="6:21" x14ac:dyDescent="0.35">
      <c r="I17">
        <f>11-6</f>
        <v>5</v>
      </c>
      <c r="N17">
        <f>9-6</f>
        <v>3</v>
      </c>
    </row>
    <row r="19" spans="6:21" x14ac:dyDescent="0.35">
      <c r="K19" t="s">
        <v>17</v>
      </c>
    </row>
    <row r="20" spans="6:21" x14ac:dyDescent="0.35">
      <c r="F20" s="4" t="s">
        <v>13</v>
      </c>
      <c r="G20" s="4"/>
      <c r="H20" s="3" t="s">
        <v>14</v>
      </c>
      <c r="I20" s="3" t="s">
        <v>15</v>
      </c>
      <c r="J20" s="3" t="s">
        <v>16</v>
      </c>
      <c r="K20" s="3" t="s">
        <v>18</v>
      </c>
      <c r="L20" s="3" t="s">
        <v>22</v>
      </c>
      <c r="M20" s="3" t="s">
        <v>28</v>
      </c>
      <c r="N20" s="9" t="s">
        <v>30</v>
      </c>
      <c r="O20" s="3" t="s">
        <v>31</v>
      </c>
    </row>
    <row r="21" spans="6:21" x14ac:dyDescent="0.35">
      <c r="F21" s="4"/>
      <c r="G21" s="4"/>
      <c r="H21" s="3" t="s">
        <v>5</v>
      </c>
      <c r="I21" s="3">
        <v>5</v>
      </c>
      <c r="J21" s="3">
        <v>0</v>
      </c>
      <c r="K21" s="3"/>
      <c r="L21" s="6"/>
      <c r="M21" s="3"/>
      <c r="N21" s="3"/>
      <c r="O21" s="3"/>
    </row>
    <row r="22" spans="6:21" x14ac:dyDescent="0.35">
      <c r="F22" s="4"/>
      <c r="G22" s="4"/>
      <c r="H22" s="3" t="s">
        <v>6</v>
      </c>
      <c r="I22" s="3">
        <v>1</v>
      </c>
      <c r="J22" s="3">
        <v>3</v>
      </c>
      <c r="K22" s="6"/>
      <c r="L22" s="3"/>
      <c r="M22" s="3"/>
      <c r="N22" s="3"/>
      <c r="O22" s="3"/>
    </row>
    <row r="23" spans="6:21" x14ac:dyDescent="0.35">
      <c r="F23" s="4"/>
      <c r="G23" s="4"/>
      <c r="H23" s="3" t="s">
        <v>7</v>
      </c>
      <c r="I23" s="3">
        <v>4</v>
      </c>
      <c r="J23" s="3">
        <v>4</v>
      </c>
      <c r="K23" s="3"/>
      <c r="L23" s="3"/>
      <c r="M23" s="3"/>
      <c r="N23" s="3"/>
      <c r="O23" s="6"/>
    </row>
    <row r="24" spans="6:21" x14ac:dyDescent="0.35">
      <c r="F24" s="4"/>
      <c r="G24" s="4"/>
      <c r="H24" s="5" t="s">
        <v>8</v>
      </c>
      <c r="I24" s="5">
        <v>2</v>
      </c>
      <c r="J24" s="5">
        <v>6</v>
      </c>
      <c r="K24" s="5"/>
      <c r="L24" s="5"/>
      <c r="M24" s="8"/>
      <c r="N24" s="3"/>
      <c r="O24" s="3"/>
    </row>
    <row r="25" spans="6:21" x14ac:dyDescent="0.35">
      <c r="F25" s="4"/>
      <c r="G25" s="4"/>
      <c r="H25" s="3" t="s">
        <v>9</v>
      </c>
      <c r="I25" s="3">
        <v>2</v>
      </c>
      <c r="J25" s="3">
        <v>6</v>
      </c>
      <c r="K25" s="3"/>
      <c r="L25" s="3"/>
      <c r="M25" s="3"/>
      <c r="N25" s="6"/>
      <c r="O25" s="3"/>
    </row>
    <row r="26" spans="6:21" x14ac:dyDescent="0.35">
      <c r="F26" s="4"/>
      <c r="G26" s="4"/>
      <c r="H26">
        <v>7</v>
      </c>
      <c r="I26" s="7">
        <v>8</v>
      </c>
      <c r="J26">
        <v>9</v>
      </c>
      <c r="K26" s="7">
        <v>10</v>
      </c>
      <c r="L26">
        <v>11</v>
      </c>
      <c r="M26" s="7">
        <v>12</v>
      </c>
      <c r="N26">
        <v>13</v>
      </c>
      <c r="O26" s="22">
        <v>14</v>
      </c>
      <c r="P26" s="4">
        <v>15</v>
      </c>
      <c r="Q26" s="14">
        <v>16</v>
      </c>
      <c r="R26" s="4">
        <v>17</v>
      </c>
      <c r="S26" s="14">
        <v>18</v>
      </c>
      <c r="T26" s="4">
        <v>19</v>
      </c>
      <c r="U26" s="14">
        <v>20</v>
      </c>
    </row>
    <row r="27" spans="6:21" x14ac:dyDescent="0.35">
      <c r="F27" s="4"/>
      <c r="G27" s="4"/>
      <c r="H27" s="16" t="s">
        <v>6</v>
      </c>
      <c r="I27" s="15" t="s">
        <v>5</v>
      </c>
      <c r="J27" s="15" t="s">
        <v>5</v>
      </c>
      <c r="K27" s="15" t="s">
        <v>5</v>
      </c>
      <c r="L27" s="15" t="s">
        <v>5</v>
      </c>
      <c r="M27" s="15" t="s">
        <v>5</v>
      </c>
      <c r="N27" s="18" t="s">
        <v>8</v>
      </c>
      <c r="O27" s="18" t="s">
        <v>8</v>
      </c>
      <c r="P27" s="19" t="s">
        <v>9</v>
      </c>
      <c r="Q27" s="19" t="s">
        <v>9</v>
      </c>
      <c r="R27" s="15" t="s">
        <v>7</v>
      </c>
      <c r="S27" s="15" t="s">
        <v>7</v>
      </c>
      <c r="T27" s="15" t="s">
        <v>7</v>
      </c>
      <c r="U27" s="15" t="s">
        <v>7</v>
      </c>
    </row>
    <row r="28" spans="6:21" x14ac:dyDescent="0.35">
      <c r="F28" s="4"/>
      <c r="G28" s="4"/>
      <c r="H28" s="4"/>
      <c r="I28" s="4"/>
      <c r="J28" s="20" t="s">
        <v>19</v>
      </c>
      <c r="K28" s="20" t="s">
        <v>23</v>
      </c>
      <c r="L28" s="21"/>
      <c r="M28" s="21"/>
      <c r="N28" s="21"/>
    </row>
    <row r="29" spans="6:21" x14ac:dyDescent="0.35">
      <c r="F29" s="4"/>
      <c r="G29" s="4"/>
      <c r="H29" s="4"/>
      <c r="I29" s="4"/>
      <c r="J29" s="10" t="s">
        <v>20</v>
      </c>
      <c r="K29" s="13"/>
      <c r="L29" s="13"/>
      <c r="M29" s="13"/>
      <c r="N29" s="13"/>
    </row>
    <row r="30" spans="6:21" x14ac:dyDescent="0.35">
      <c r="J30" s="10" t="s">
        <v>26</v>
      </c>
      <c r="K30" s="10" t="s">
        <v>27</v>
      </c>
      <c r="L30" s="11" t="s">
        <v>24</v>
      </c>
      <c r="M30" s="10" t="s">
        <v>32</v>
      </c>
      <c r="N30" s="10" t="s">
        <v>34</v>
      </c>
    </row>
    <row r="31" spans="6:21" x14ac:dyDescent="0.35">
      <c r="J31" s="12" t="s">
        <v>21</v>
      </c>
      <c r="K31" s="10" t="s">
        <v>25</v>
      </c>
      <c r="L31" s="10" t="s">
        <v>29</v>
      </c>
      <c r="M31" s="13"/>
      <c r="N31" s="13"/>
    </row>
    <row r="32" spans="6:21" x14ac:dyDescent="0.35">
      <c r="J32" s="12" t="s">
        <v>21</v>
      </c>
      <c r="K32" s="12" t="s">
        <v>25</v>
      </c>
      <c r="L32" s="10" t="s">
        <v>29</v>
      </c>
      <c r="M32" s="10" t="s">
        <v>33</v>
      </c>
      <c r="N3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2024-10-21T07:02:45Z</dcterms:created>
  <dcterms:modified xsi:type="dcterms:W3CDTF">2024-10-21T13:00:08Z</dcterms:modified>
</cp:coreProperties>
</file>