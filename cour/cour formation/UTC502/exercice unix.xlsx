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UTC502\"/>
    </mc:Choice>
  </mc:AlternateContent>
  <xr:revisionPtr revIDLastSave="0" documentId="8_{92D414BF-6C98-41F7-BDB2-251916994DD2}" xr6:coauthVersionLast="47" xr6:coauthVersionMax="47" xr10:uidLastSave="{00000000-0000-0000-0000-000000000000}"/>
  <bookViews>
    <workbookView xWindow="-110" yWindow="-110" windowWidth="25820" windowHeight="15500" activeTab="1" xr2:uid="{DA936052-77F5-4178-AD28-817F9926EAD0}"/>
  </bookViews>
  <sheets>
    <sheet name="Cour" sheetId="1" r:id="rId1"/>
    <sheet name="TD GestionFich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D15" i="2"/>
  <c r="D14" i="2"/>
  <c r="D12" i="2"/>
  <c r="D17" i="2"/>
  <c r="G2" i="2"/>
  <c r="D8" i="2"/>
  <c r="D7" i="2"/>
  <c r="D5" i="2"/>
  <c r="D4" i="2"/>
  <c r="D8" i="1"/>
  <c r="D7" i="1"/>
  <c r="D5" i="1"/>
  <c r="D4" i="1"/>
</calcChain>
</file>

<file path=xl/sharedStrings.xml><?xml version="1.0" encoding="utf-8"?>
<sst xmlns="http://schemas.openxmlformats.org/spreadsheetml/2006/main" count="37" uniqueCount="17">
  <si>
    <t>1 indirection</t>
  </si>
  <si>
    <t>2 indirection</t>
  </si>
  <si>
    <t>3 indirection</t>
  </si>
  <si>
    <t>ko</t>
  </si>
  <si>
    <t>total</t>
  </si>
  <si>
    <t>total ko</t>
  </si>
  <si>
    <t>total octets</t>
  </si>
  <si>
    <t>1 indirect simple</t>
  </si>
  <si>
    <t>1 indirect double</t>
  </si>
  <si>
    <t>12 direct</t>
  </si>
  <si>
    <t>1 indirect triple</t>
  </si>
  <si>
    <t>fichier contenant 100 000 octets</t>
  </si>
  <si>
    <t>blocs de données</t>
  </si>
  <si>
    <t>Exercice 1</t>
  </si>
  <si>
    <t>Exercice 2</t>
  </si>
  <si>
    <t>4ko</t>
  </si>
  <si>
    <t>Fichier contenant 20 000 000 de caractére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</si>
</sst>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3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880F-A677-43A1-B28E-7A932428B861}">
  <dimension ref="C2:E8"/>
  <sheetViews>
    <sheetView workbookViewId="0">
      <selection activeCell="D3" sqref="D3"/>
    </sheetView>
  </sheetViews>
  <sheetFormatPr baseColWidth="10" defaultRowHeight="14.5" x14ac:dyDescent="0.35"/>
  <cols>
    <col min="4" max="4" width="15.453125" bestFit="1" customWidth="1"/>
  </cols>
  <sheetData>
    <row r="2" spans="3:5" x14ac:dyDescent="0.35">
      <c r="C2">
        <v>10</v>
      </c>
      <c r="D2" s="1">
        <v>10</v>
      </c>
      <c r="E2" t="s">
        <v>3</v>
      </c>
    </row>
    <row r="3" spans="3:5" x14ac:dyDescent="0.35">
      <c r="C3" t="s">
        <v>0</v>
      </c>
      <c r="D3" s="1">
        <v>256</v>
      </c>
      <c r="E3" t="s">
        <v>3</v>
      </c>
    </row>
    <row r="4" spans="3:5" x14ac:dyDescent="0.35">
      <c r="C4" t="s">
        <v>1</v>
      </c>
      <c r="D4" s="1">
        <f>256*256</f>
        <v>65536</v>
      </c>
      <c r="E4" t="s">
        <v>3</v>
      </c>
    </row>
    <row r="5" spans="3:5" x14ac:dyDescent="0.35">
      <c r="C5" t="s">
        <v>2</v>
      </c>
      <c r="D5" s="1">
        <f>256*256*256</f>
        <v>16777216</v>
      </c>
      <c r="E5" t="s">
        <v>3</v>
      </c>
    </row>
    <row r="6" spans="3:5" x14ac:dyDescent="0.35">
      <c r="D6" s="1"/>
    </row>
    <row r="7" spans="3:5" x14ac:dyDescent="0.35">
      <c r="C7" t="s">
        <v>5</v>
      </c>
      <c r="D7" s="1">
        <f>SUM(D2:D6)</f>
        <v>16843018</v>
      </c>
      <c r="E7" t="s">
        <v>3</v>
      </c>
    </row>
    <row r="8" spans="3:5" x14ac:dyDescent="0.35">
      <c r="C8" t="s">
        <v>6</v>
      </c>
      <c r="D8" s="1">
        <f>D7*1024</f>
        <v>17247250432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F733-67FE-4F80-967D-6B1EC3CA2B23}">
  <dimension ref="A1:H18"/>
  <sheetViews>
    <sheetView tabSelected="1" workbookViewId="0">
      <selection activeCell="D12" sqref="D12"/>
    </sheetView>
  </sheetViews>
  <sheetFormatPr baseColWidth="10" defaultRowHeight="14.5" x14ac:dyDescent="0.35"/>
  <cols>
    <col min="3" max="3" width="17.54296875" customWidth="1"/>
    <col min="4" max="4" width="12.90625" bestFit="1" customWidth="1"/>
    <col min="6" max="6" width="41.81640625" customWidth="1"/>
    <col min="8" max="8" width="16.1796875" customWidth="1"/>
  </cols>
  <sheetData>
    <row r="1" spans="1:8" x14ac:dyDescent="0.35">
      <c r="A1" t="s">
        <v>13</v>
      </c>
    </row>
    <row r="2" spans="1:8" x14ac:dyDescent="0.35">
      <c r="C2" s="6" t="s">
        <v>9</v>
      </c>
      <c r="D2" s="7">
        <v>12</v>
      </c>
      <c r="E2" s="8" t="s">
        <v>3</v>
      </c>
      <c r="F2" s="8" t="s">
        <v>11</v>
      </c>
      <c r="G2" s="7">
        <f>100000/1024</f>
        <v>97.65625</v>
      </c>
      <c r="H2" s="9" t="s">
        <v>12</v>
      </c>
    </row>
    <row r="3" spans="1:8" x14ac:dyDescent="0.35">
      <c r="C3" s="4" t="s">
        <v>7</v>
      </c>
      <c r="D3" s="1">
        <v>256</v>
      </c>
      <c r="E3" t="s">
        <v>3</v>
      </c>
      <c r="H3" s="10"/>
    </row>
    <row r="4" spans="1:8" x14ac:dyDescent="0.35">
      <c r="C4" s="4" t="s">
        <v>8</v>
      </c>
      <c r="D4" s="1">
        <f>256*256</f>
        <v>65536</v>
      </c>
      <c r="E4" t="s">
        <v>3</v>
      </c>
      <c r="H4" s="10"/>
    </row>
    <row r="5" spans="1:8" x14ac:dyDescent="0.35">
      <c r="C5" s="4" t="s">
        <v>10</v>
      </c>
      <c r="D5" s="1">
        <f>256*256*256</f>
        <v>16777216</v>
      </c>
      <c r="E5" t="s">
        <v>3</v>
      </c>
      <c r="H5" s="10"/>
    </row>
    <row r="6" spans="1:8" x14ac:dyDescent="0.35">
      <c r="C6" s="4"/>
      <c r="D6" s="1"/>
      <c r="H6" s="10"/>
    </row>
    <row r="7" spans="1:8" x14ac:dyDescent="0.35">
      <c r="C7" s="4" t="s">
        <v>4</v>
      </c>
      <c r="D7" s="1">
        <f>SUM(D2:D5)</f>
        <v>16843020</v>
      </c>
      <c r="E7" t="s">
        <v>3</v>
      </c>
      <c r="H7" s="10"/>
    </row>
    <row r="8" spans="1:8" x14ac:dyDescent="0.35">
      <c r="C8" s="5" t="s">
        <v>6</v>
      </c>
      <c r="D8" s="3">
        <f>D7*1024</f>
        <v>17247252480</v>
      </c>
      <c r="E8" s="2"/>
      <c r="F8" s="2"/>
      <c r="G8" s="2"/>
      <c r="H8" s="11"/>
    </row>
    <row r="11" spans="1:8" x14ac:dyDescent="0.35">
      <c r="A11" t="s">
        <v>14</v>
      </c>
    </row>
    <row r="12" spans="1:8" x14ac:dyDescent="0.35">
      <c r="C12" s="6" t="s">
        <v>9</v>
      </c>
      <c r="D12" s="8">
        <f>12*4</f>
        <v>48</v>
      </c>
      <c r="E12" s="8" t="s">
        <v>15</v>
      </c>
      <c r="F12" s="8" t="s">
        <v>16</v>
      </c>
      <c r="G12" s="12">
        <f>20000000/4096</f>
        <v>4882.8125</v>
      </c>
      <c r="H12" s="9" t="s">
        <v>12</v>
      </c>
    </row>
    <row r="13" spans="1:8" x14ac:dyDescent="0.35">
      <c r="C13" s="4" t="s">
        <v>7</v>
      </c>
      <c r="D13">
        <v>274</v>
      </c>
      <c r="E13" t="s">
        <v>15</v>
      </c>
      <c r="H13" s="10"/>
    </row>
    <row r="14" spans="1:8" x14ac:dyDescent="0.35">
      <c r="C14" s="4" t="s">
        <v>8</v>
      </c>
      <c r="D14">
        <f>274*274</f>
        <v>75076</v>
      </c>
      <c r="E14" t="s">
        <v>15</v>
      </c>
      <c r="H14" s="10"/>
    </row>
    <row r="15" spans="1:8" x14ac:dyDescent="0.35">
      <c r="C15" s="4" t="s">
        <v>10</v>
      </c>
      <c r="D15">
        <f>274*274*274</f>
        <v>20570824</v>
      </c>
      <c r="E15" t="s">
        <v>15</v>
      </c>
      <c r="H15" s="10"/>
    </row>
    <row r="16" spans="1:8" x14ac:dyDescent="0.35">
      <c r="C16" s="4"/>
      <c r="D16" s="1"/>
      <c r="H16" s="10"/>
    </row>
    <row r="17" spans="3:8" x14ac:dyDescent="0.35">
      <c r="C17" s="4" t="s">
        <v>4</v>
      </c>
      <c r="D17" s="1">
        <f>SUM(D12:D15)</f>
        <v>20646222</v>
      </c>
      <c r="E17" t="s">
        <v>15</v>
      </c>
      <c r="H17" s="10"/>
    </row>
    <row r="18" spans="3:8" x14ac:dyDescent="0.35">
      <c r="C18" s="5"/>
      <c r="D18" s="3"/>
      <c r="E18" s="2"/>
      <c r="F18" s="2"/>
      <c r="G18" s="2"/>
      <c r="H1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Cour</vt:lpstr>
      <vt:lpstr>TD GestionFichier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2024-11-21T09:34:14Z</dcterms:created>
  <dcterms:modified xsi:type="dcterms:W3CDTF">2024-12-16T12:40:07Z</dcterms:modified>
</cp:coreProperties>
</file>